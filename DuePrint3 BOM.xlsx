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Documents\GitHub\DuePrint3\"/>
    </mc:Choice>
  </mc:AlternateContent>
  <xr:revisionPtr revIDLastSave="0" documentId="13_ncr:1_{72F38D6A-2F9F-40BD-A021-923E75D44912}" xr6:coauthVersionLast="47" xr6:coauthVersionMax="47" xr10:uidLastSave="{00000000-0000-0000-0000-000000000000}"/>
  <bookViews>
    <workbookView xWindow="0" yWindow="0" windowWidth="25800" windowHeight="21000" xr2:uid="{EE4BCC0D-CA0F-44AB-9A6C-651FC0043629}"/>
  </bookViews>
  <sheets>
    <sheet name="Sheet1" sheetId="1" r:id="rId1"/>
  </sheets>
  <definedNames>
    <definedName name="_xlnm._FilterDatabase" localSheetId="0" hidden="1">Sheet1!$A$2:$I$63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26" i="1"/>
  <c r="G28" i="1"/>
  <c r="G31" i="1" l="1"/>
  <c r="G30" i="1"/>
  <c r="G11" i="1"/>
  <c r="G10" i="1"/>
  <c r="G9" i="1"/>
  <c r="G17" i="1"/>
  <c r="G19" i="1"/>
  <c r="G27" i="1"/>
  <c r="G7" i="1"/>
  <c r="G24" i="1"/>
  <c r="G21" i="1"/>
  <c r="G25" i="1"/>
  <c r="G29" i="1"/>
  <c r="G22" i="1"/>
  <c r="G23" i="1"/>
  <c r="G8" i="1"/>
  <c r="G13" i="1"/>
  <c r="G16" i="1"/>
  <c r="G20" i="1"/>
  <c r="G18" i="1"/>
  <c r="G12" i="1"/>
  <c r="G15" i="1"/>
  <c r="G14" i="1"/>
  <c r="G48" i="1"/>
  <c r="G49" i="1"/>
  <c r="G50" i="1"/>
  <c r="G51" i="1"/>
  <c r="G52" i="1"/>
  <c r="G53" i="1"/>
  <c r="G54" i="1"/>
  <c r="G60" i="1"/>
  <c r="G61" i="1"/>
  <c r="G62" i="1"/>
  <c r="G63" i="1"/>
  <c r="G64" i="1"/>
  <c r="G65" i="1"/>
  <c r="G66" i="1"/>
  <c r="F59" i="1"/>
  <c r="G59" i="1" s="1"/>
  <c r="F58" i="1"/>
  <c r="G58" i="1" s="1"/>
  <c r="F57" i="1"/>
  <c r="G57" i="1" s="1"/>
  <c r="F56" i="1"/>
  <c r="G56" i="1" s="1"/>
  <c r="G6" i="1"/>
  <c r="G38" i="1"/>
  <c r="G5" i="1" l="1"/>
  <c r="G4" i="1"/>
  <c r="G32" i="1"/>
  <c r="G33" i="1"/>
  <c r="G34" i="1"/>
  <c r="G35" i="1"/>
  <c r="G36" i="1"/>
  <c r="G37" i="1"/>
  <c r="G39" i="1"/>
  <c r="G40" i="1"/>
  <c r="G42" i="1"/>
  <c r="G43" i="1"/>
  <c r="G44" i="1"/>
  <c r="G45" i="1"/>
  <c r="G46" i="1"/>
  <c r="G47" i="1"/>
  <c r="G55" i="1"/>
  <c r="G3" i="1"/>
  <c r="F1" i="1" s="1"/>
</calcChain>
</file>

<file path=xl/sharedStrings.xml><?xml version="1.0" encoding="utf-8"?>
<sst xmlns="http://schemas.openxmlformats.org/spreadsheetml/2006/main" count="218" uniqueCount="208">
  <si>
    <t>Item</t>
  </si>
  <si>
    <t>Part Number</t>
  </si>
  <si>
    <t>Description</t>
  </si>
  <si>
    <t>Quantity</t>
  </si>
  <si>
    <t>Price</t>
  </si>
  <si>
    <t>EXT Price</t>
  </si>
  <si>
    <t>Link</t>
  </si>
  <si>
    <t>Note</t>
  </si>
  <si>
    <t>REF</t>
  </si>
  <si>
    <t>Duet 3 Mainboard 6HC</t>
  </si>
  <si>
    <t>https://www.filastruder.com/collections/duet3d/products/duet-3-mainboard-6hc</t>
  </si>
  <si>
    <t>Conn, Header, 20 pos, EHT</t>
  </si>
  <si>
    <t>Conn, Header, 16 pos</t>
  </si>
  <si>
    <t>https://www.digikey.com/en/products/detail/molex/0436500215/283461</t>
  </si>
  <si>
    <t>Conn, Header, 2 pos, MicroFit- 3.0</t>
  </si>
  <si>
    <t>Can buy larger and cut down</t>
  </si>
  <si>
    <t>Conn, Header, 3 pos</t>
  </si>
  <si>
    <t>J14</t>
  </si>
  <si>
    <t>J1</t>
  </si>
  <si>
    <t>120 Res, 0805</t>
  </si>
  <si>
    <t>https://www.digikey.com/en/products/detail/samsung-electro-mechanics/cl21b104kcfsfne/3888581</t>
  </si>
  <si>
    <t>https://www.digikey.com/en/products/detail/vishay-dale/CRCW080531K6FKEA/1175806</t>
  </si>
  <si>
    <t>https://www.digikey.com/en/products/detail/vishay-dale/crcw08053k74fkea/1175701</t>
  </si>
  <si>
    <t>https://www.digikey.com/en/products/detail/vishay-dale/crcw080510k0fkea/1175751</t>
  </si>
  <si>
    <t>https://www.digikey.com/en/products/detail/vishay-dale/CRCW08052K00FKEA/1175669</t>
  </si>
  <si>
    <t>https://www.digikey.com/en/products/detail/vishay-dale/CRCW08051K00FKEA/1175637</t>
  </si>
  <si>
    <t>SN74AHCT125DR, 14-SOIC</t>
  </si>
  <si>
    <t>https://www.digikey.com/en/products/detail/texas-instruments/SN74AHCT125DR/376412</t>
  </si>
  <si>
    <t>SN74AHCT125DR</t>
  </si>
  <si>
    <t>CL21B104KCFSFNE</t>
  </si>
  <si>
    <t>CRCW080531K6FKEA</t>
  </si>
  <si>
    <t>CRCW08053K74FKEA</t>
  </si>
  <si>
    <t>CRCW080510K0FKEA</t>
  </si>
  <si>
    <t>CRCW08052K00FKEA</t>
  </si>
  <si>
    <t>CRCW08051K00FKEA</t>
  </si>
  <si>
    <t>Conn, Plug, 8 pos, Mini-Fit Jr</t>
  </si>
  <si>
    <t>https://www.digikey.com/en/products/detail/molex/0039012086/930285</t>
  </si>
  <si>
    <t>Conn, Rcpt, 20 pos, Mini-Fit Jr</t>
  </si>
  <si>
    <t>https://www.digikey.com/en/products/detail/molex/0039012205/930279</t>
  </si>
  <si>
    <t>Conn, Plug, 20 pos, Mini-Fit Jr</t>
  </si>
  <si>
    <t>https://www.digikey.com/en/products/detail/molex/0039012206/4693014</t>
  </si>
  <si>
    <t>https://www.digikey.com/en/products/detail/molex/0430251800/531407</t>
  </si>
  <si>
    <t>P4,P5,P6</t>
  </si>
  <si>
    <t>Included in 6HC purchase</t>
  </si>
  <si>
    <t>VHR-4N</t>
  </si>
  <si>
    <t>https://www.digikey.com/en/products/detail/jst-sales-america-inc/VHR-4N/608626</t>
  </si>
  <si>
    <t>Conn, Rcpt, 4 pos, JST VH</t>
  </si>
  <si>
    <t>SVH-21T-P1.1</t>
  </si>
  <si>
    <t>https://www.mouser.com/ProductDetail/JST-Commercial/SVH-21T-P11?qs=QpmGXVUTftHffPDBVqr85w%3D%3D</t>
  </si>
  <si>
    <t>Socket, 18-22 AWG, JST VH</t>
  </si>
  <si>
    <t>https://www.digikey.com/en/products/detail/w%C3%BCrth-elektronik/61900511621/2508639</t>
  </si>
  <si>
    <t>Conn, Rcpt, 5 pos, WR-WTB</t>
  </si>
  <si>
    <t>Conn, Rcpt, 2 pos, WR-WTB</t>
  </si>
  <si>
    <t>https://www.digikey.com/en/products/detail/w%C3%BCrth-elektronik/61900211621/2508636</t>
  </si>
  <si>
    <t>https://www.digikey.com/en/products/detail/w%C3%BCrth-elektronik/61900411621/2508638</t>
  </si>
  <si>
    <t>Conn, Rcpt, 4 pos, WR-WTB</t>
  </si>
  <si>
    <t>61900113722DEC</t>
  </si>
  <si>
    <t>https://www.digikey.com/en/products/detail/w%C3%BCrth-elektronik/61900113722DEC/2508640</t>
  </si>
  <si>
    <t>Socket, 22-28 AWG, WR-WTB</t>
  </si>
  <si>
    <t>RJ11 connectors</t>
  </si>
  <si>
    <t>In case custom length/custom purpose CAN-FD cables are desired</t>
  </si>
  <si>
    <t>QPC02SXGN-RC</t>
  </si>
  <si>
    <t>https://www.digikey.com/en/products/detail/sullins-connector-solutions/QPC02SXGN-RC/2618262</t>
  </si>
  <si>
    <t>LRS-75-48</t>
  </si>
  <si>
    <t>Power Suppy, AC/DC, 48V 75W</t>
  </si>
  <si>
    <t>https://www.digikey.com/en/products/detail/mean-well-usa-inc/LRS-75-48/7705054</t>
  </si>
  <si>
    <t>Pin, 22-28 AWG, Mini-Fit Jr</t>
  </si>
  <si>
    <t>Socket, 22-28 AWG, Mini-Fit Jr</t>
  </si>
  <si>
    <t>https://www.digikey.com/en/products/detail/molex/0039000048/1643437</t>
  </si>
  <si>
    <t>https://www.digikey.com/en/products/detail/molex/0039000046/1643436</t>
  </si>
  <si>
    <t>Conn, Header, 50 pos, EHT</t>
  </si>
  <si>
    <t>https://www.digikey.com/en/products/detail/w%C3%BCrth-elektronik/61301611821/6137797</t>
  </si>
  <si>
    <t>https://www.digikey.com/en/products/detail/stewart-connector/SS-6466S-A-PG1/1642347</t>
  </si>
  <si>
    <t>B30B-PHDSS</t>
  </si>
  <si>
    <t>Conn, Header, 30 pos, JST PHD, 2.0</t>
  </si>
  <si>
    <t>https://www.digikey.com/en/products/detail/jst-sales-america-inc/B30B-PHDSS/926678</t>
  </si>
  <si>
    <t>Conn, Header, 14 pos, JST PHD, 2.0</t>
  </si>
  <si>
    <t>PHDR-30VS</t>
  </si>
  <si>
    <t>https://www.digikey.com/en/products/detail/jst-sales-america-inc/PHDR-30VS/608621</t>
  </si>
  <si>
    <t>Conn, Rcpt, 30 pos, JST PHD, 2.0</t>
  </si>
  <si>
    <t>Conn, Rcpt, 14 pos, JST PHD, 2.0</t>
  </si>
  <si>
    <t>PHDR-14VS</t>
  </si>
  <si>
    <t>ERJ-6ENF1003V</t>
  </si>
  <si>
    <t>https://www.digikey.com/en/products/detail/samsung-electro-mechanics/CL21B103KAANNNC/3888092</t>
  </si>
  <si>
    <t>CL21B103KAANNNC</t>
  </si>
  <si>
    <t>https://www.digikey.com/en/products/detail/te-connectivity-amp-connectors/350720-1/213757</t>
  </si>
  <si>
    <t>350720-1</t>
  </si>
  <si>
    <t>350782-1</t>
  </si>
  <si>
    <t>https://www.digikey.com/en/products/detail/te-connectivity-amp-connectors/350782-1/213758</t>
  </si>
  <si>
    <t>350561-1</t>
  </si>
  <si>
    <t>https://www.digikey.com/en/products/detail/te-connectivity-amp-connectors/350561-1/287669</t>
  </si>
  <si>
    <t>350218-1</t>
  </si>
  <si>
    <t>https://www.digikey.com/en/products/detail/te-connectivity-amp-connectors/350218-1/287751</t>
  </si>
  <si>
    <t>350536-1</t>
  </si>
  <si>
    <t>https://www.digikey.com/en/products/detail/te-connectivity-amp-connectors/350570-1/287662</t>
  </si>
  <si>
    <t>https://www.digikey.com/en/products/detail/te-connectivity-amp-connectors/350536-1/287712</t>
  </si>
  <si>
    <t>U4</t>
  </si>
  <si>
    <t>J16</t>
  </si>
  <si>
    <t>R2</t>
  </si>
  <si>
    <t>R1</t>
  </si>
  <si>
    <t>R16</t>
  </si>
  <si>
    <t>14AWG</t>
  </si>
  <si>
    <t>18AWG</t>
  </si>
  <si>
    <t>28AWG</t>
  </si>
  <si>
    <t>22AWG</t>
  </si>
  <si>
    <t>https://www.digikey.com/short/q54m7hm0</t>
  </si>
  <si>
    <t>Socket, 26-30 AWG, Micro-Fit 3.0</t>
  </si>
  <si>
    <t>https://www.digikey.com/en/products/detail/molex/0430300010/252480</t>
  </si>
  <si>
    <t>PAAD04010BH-0000</t>
  </si>
  <si>
    <t>FAN 1, FAN 2</t>
  </si>
  <si>
    <t>https://www.digikey.com/en/products/detail/boyd-laconia-llc/PAAD04010BH-0000/20532210</t>
  </si>
  <si>
    <t>Conn, Rcpt, 2 pos, Micro-Fit 3.0</t>
  </si>
  <si>
    <t>P8, P9</t>
  </si>
  <si>
    <t>https://www.digikey.com/en/products/detail/molex/0436450200/268974</t>
  </si>
  <si>
    <t>350570-1</t>
  </si>
  <si>
    <t>Socket, 18-24 AWG, MATE-N-LOK</t>
  </si>
  <si>
    <t>Socket, 14-20 AWG, MATE-N-LOK</t>
  </si>
  <si>
    <t>Pin, 14-20 AWG, MATE-N-LOK</t>
  </si>
  <si>
    <t>Pin, 18-24 AWG, MATE-N-LOK</t>
  </si>
  <si>
    <t>Conn, Plug, 9 pos, MATE-N-LOK</t>
  </si>
  <si>
    <t>Conn, Rcpt, 9 pos, MATE-N-LOK</t>
  </si>
  <si>
    <t>https://www.digikey.com/en/products/detail/te-connectivity-amp-connectors/130517/1864399</t>
  </si>
  <si>
    <t>Spade Terminal, 16-22 AWG, M4</t>
  </si>
  <si>
    <t>M4 or #8 stud, sized for your wires connecting VAC and VDC to 48VDC and 6HC</t>
  </si>
  <si>
    <t>DuePrint3 v2.5.0 PCB</t>
  </si>
  <si>
    <t>The Stratasys 12V/5V PSU requires a minimum load of 0.7A on 5V, so a "dummy" load is required (else the machine fails to power on). Fans helps fill that "dummy" load.</t>
  </si>
  <si>
    <t>Fan, 5V, 40x10, 0.25A</t>
  </si>
  <si>
    <t>U1,U2</t>
  </si>
  <si>
    <t>DP3EXB</t>
  </si>
  <si>
    <t>R5,R7,R8</t>
  </si>
  <si>
    <t>R3,R4,R6</t>
  </si>
  <si>
    <t>https://www.digikey.com/en/products/detail/vishay-dale/CRCW08052K20FKEA/1175673</t>
  </si>
  <si>
    <t>R19,R20</t>
  </si>
  <si>
    <t>2K2</t>
  </si>
  <si>
    <t>CRCW08052K20FKEA</t>
  </si>
  <si>
    <t>R10,R11,R12,R13,R14,R15,R17,R18</t>
  </si>
  <si>
    <t>CRCW0805120RFKEA</t>
  </si>
  <si>
    <t>https://www.digikey.com/en/products/detail/panasonic-industry/erj-6enf1003v/111841</t>
  </si>
  <si>
    <t>R9</t>
  </si>
  <si>
    <t>J92,J93</t>
  </si>
  <si>
    <t>J90,J91</t>
  </si>
  <si>
    <t>J3,J6,J8,J9</t>
  </si>
  <si>
    <t>J2,J5</t>
  </si>
  <si>
    <t>https://www.digikey.com/en/products/detail/w%C3%BCrth-elektronik/61300311121/4846825</t>
  </si>
  <si>
    <t>J13,J15</t>
  </si>
  <si>
    <t>J11,J12</t>
  </si>
  <si>
    <t>SS-6466S-A-PG1</t>
  </si>
  <si>
    <t>B14B-PHDSS</t>
  </si>
  <si>
    <t>J4</t>
  </si>
  <si>
    <t>150080AS75000</t>
  </si>
  <si>
    <t>150080VS75000</t>
  </si>
  <si>
    <t>150080BS75000</t>
  </si>
  <si>
    <t>C1,C2</t>
  </si>
  <si>
    <t>C3</t>
  </si>
  <si>
    <t>Conn, Header, 3 pos, MicroFit- 3.0</t>
  </si>
  <si>
    <t>For CAN-FD termination and Motor En select</t>
  </si>
  <si>
    <t>https://www.digikey.com/en/products/detail/w%C3%BCrth-elektronik/150080BS75000/4489912</t>
  </si>
  <si>
    <t>https://www.digikey.com/en/products/detail/w%C3%BCrth-elektronik/150080VS75000/4489924</t>
  </si>
  <si>
    <t>https://www.digikey.com/en/products/detail/w%C3%BCrth-elektronik/150080AS75000/11479384</t>
  </si>
  <si>
    <t>https://www.digikey.com/en/products/detail/molex/0436500315/283462</t>
  </si>
  <si>
    <t>https://www.digikey.com/en/products/category/rectangular-connectors/2027</t>
  </si>
  <si>
    <t>D1 (12V)</t>
  </si>
  <si>
    <t>D2 (5V_SW)</t>
  </si>
  <si>
    <t>D3 (5V)</t>
  </si>
  <si>
    <t>LED, Green, 0805</t>
  </si>
  <si>
    <t>LED, Blue, 0805</t>
  </si>
  <si>
    <t>LED, Amber, 0805</t>
  </si>
  <si>
    <t>P2</t>
  </si>
  <si>
    <t>P3</t>
  </si>
  <si>
    <t>P1</t>
  </si>
  <si>
    <t>P7</t>
  </si>
  <si>
    <t>Spares Header</t>
  </si>
  <si>
    <t>P10</t>
  </si>
  <si>
    <t>P11</t>
  </si>
  <si>
    <t>IO_0 IO_1 IO_2 IO_3 IO_4 IO_5 IO_6 IO_7 IO_8</t>
  </si>
  <si>
    <t>TEMP0 TEMP1 TEMP2</t>
  </si>
  <si>
    <t>OUT4</t>
  </si>
  <si>
    <t>Conn, 6p6c R/A, RJ11</t>
  </si>
  <si>
    <t>Jumper, Shorting, 2 Pos</t>
  </si>
  <si>
    <t>0.1 uF, 100V X7R Cap, 0805</t>
  </si>
  <si>
    <t>10nF, 25V X7R Cap, 0805</t>
  </si>
  <si>
    <t>3.74K Res, 1% 0.125W, 0805</t>
  </si>
  <si>
    <t>31.6K Res, 1% 0.125W, 0805</t>
  </si>
  <si>
    <t>2K Res, 1% 0.125W, 0805</t>
  </si>
  <si>
    <t>1K Res, 1% 0.125W, 0805</t>
  </si>
  <si>
    <t>100K Res, 1% 0.125W, 0805</t>
  </si>
  <si>
    <t>10K Res, 1% 0.25W, 0805</t>
  </si>
  <si>
    <t>Socket, 24-28 AWG, JST SPHD</t>
  </si>
  <si>
    <t>https://www.digikey.com/en/products/detail/jst-sales-america-inc/SPHD-002T-P0-5/608754</t>
  </si>
  <si>
    <t>Lengths for cost estimation only</t>
  </si>
  <si>
    <t>EHT-110-01-F-D</t>
  </si>
  <si>
    <t>https://www.digikey.com/en/products/detail/samtec-inc/EHT-110-01-F-D/6678014</t>
  </si>
  <si>
    <t>EHT-125-01-F-D</t>
  </si>
  <si>
    <t>https://www.digikey.com/en/products/detail/samtec-inc/EHT-125-01-F-D/6694880</t>
  </si>
  <si>
    <t>DuetScreen</t>
  </si>
  <si>
    <t>https://www.filastruder.com/collections/electronics/products/duet3d-duetscreen</t>
  </si>
  <si>
    <t>Duet 6HC &lt;-&gt; DuetScreen, cable needs to support data</t>
  </si>
  <si>
    <t>https://www.amazon.com/dp/B08PVPTNZL?th=1</t>
  </si>
  <si>
    <t>10ft USB-C Cable</t>
  </si>
  <si>
    <t>SPHD-002T-P0.5</t>
  </si>
  <si>
    <t>Interface Plate</t>
  </si>
  <si>
    <t>48VDC Plate</t>
  </si>
  <si>
    <t>Fan Bracket</t>
  </si>
  <si>
    <t>MCU Module</t>
  </si>
  <si>
    <t>https://github.com/jcwebber93/DP3EXB</t>
  </si>
  <si>
    <t>https://github.com/jcwebber93/DuePrint3/blob/v2.5.0/Fan%20Bracket.STEP</t>
  </si>
  <si>
    <t>https://github.com/jcwebber93/DuePrint3/blob/v2.5.0/Interface%20Plate.STEP</t>
  </si>
  <si>
    <t>https://github.com/jcwebber93/DuePrint3/blob/v2.5.0/48VDC%20Plate.STEP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</si>
</sst>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4" fillId="0" borderId="0" xfId="3" applyAlignment="1">
      <alignment horizontal="left"/>
    </xf>
    <xf numFmtId="0" fontId="0" fillId="0" borderId="0" xfId="0" applyAlignment="1">
      <alignment horizontal="left" wrapText="1"/>
    </xf>
    <xf numFmtId="44" fontId="0" fillId="0" borderId="0" xfId="1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4" fontId="2" fillId="2" borderId="1" xfId="2" applyNumberFormat="1" applyAlignment="1">
      <alignment horizontal="left"/>
    </xf>
    <xf numFmtId="0" fontId="3" fillId="0" borderId="0" xfId="0" applyFont="1" applyAlignment="1">
      <alignment horizontal="center" wrapText="1"/>
    </xf>
    <xf numFmtId="0" fontId="4" fillId="0" borderId="0" xfId="3" applyFill="1" applyAlignment="1">
      <alignment horizontal="left"/>
    </xf>
    <xf numFmtId="0" fontId="4" fillId="0" borderId="0" xfId="3" applyAlignment="1">
      <alignment horizontal="left" wrapText="1"/>
    </xf>
    <xf numFmtId="44" fontId="3" fillId="0" borderId="0" xfId="1" applyFont="1" applyAlignment="1">
      <alignment horizontal="center"/>
    </xf>
    <xf numFmtId="44" fontId="0" fillId="0" borderId="0" xfId="1" applyFont="1" applyFill="1" applyAlignment="1">
      <alignment horizontal="left"/>
    </xf>
  </cellXfs>
  <cellStyles count="4">
    <cellStyle name="Calculation" xfId="2" builtinId="22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molex/0039000048/1643437" TargetMode="External"/><Relationship Id="rId18" Type="http://schemas.openxmlformats.org/officeDocument/2006/relationships/hyperlink" Target="https://www.digikey.com/en/products/detail/te-connectivity-amp-connectors/350720-1/213757" TargetMode="External"/><Relationship Id="rId26" Type="http://schemas.openxmlformats.org/officeDocument/2006/relationships/hyperlink" Target="https://www.digikey.com/en/products/detail/samsung-electro-mechanics/cl21b104kcfsfne/3888581" TargetMode="External"/><Relationship Id="rId39" Type="http://schemas.openxmlformats.org/officeDocument/2006/relationships/hyperlink" Target="https://www.digikey.com/en/products/detail/panasonic-industry/erj-6enf1003v/111841" TargetMode="External"/><Relationship Id="rId21" Type="http://schemas.openxmlformats.org/officeDocument/2006/relationships/hyperlink" Target="https://www.digikey.com/en/products/detail/te-connectivity-amp-connectors/350536-1/287712" TargetMode="External"/><Relationship Id="rId34" Type="http://schemas.openxmlformats.org/officeDocument/2006/relationships/hyperlink" Target="https://www.digikey.com/en/products/detail/jst-sales-america-inc/B30B-PHDSS/926678" TargetMode="External"/><Relationship Id="rId42" Type="http://schemas.openxmlformats.org/officeDocument/2006/relationships/hyperlink" Target="https://www.digikey.com/en/products/detail/vishay-dale/CRCW08052K20FKEA/1175673" TargetMode="External"/><Relationship Id="rId47" Type="http://schemas.openxmlformats.org/officeDocument/2006/relationships/hyperlink" Target="https://www.filastruder.com/collections/electronics/products/duet3d-duetscreen" TargetMode="External"/><Relationship Id="rId50" Type="http://schemas.openxmlformats.org/officeDocument/2006/relationships/hyperlink" Target="https://github.com/jcwebber93/DuePrint3/blob/v2.5.0/Fan%20Bracket.STEP" TargetMode="External"/><Relationship Id="rId7" Type="http://schemas.openxmlformats.org/officeDocument/2006/relationships/hyperlink" Target="https://www.mouser.com/ProductDetail/JST-Commercial/SVH-21T-P11?qs=QpmGXVUTftHffPDBVqr85w%3D%3D" TargetMode="External"/><Relationship Id="rId2" Type="http://schemas.openxmlformats.org/officeDocument/2006/relationships/hyperlink" Target="https://www.digikey.com/en/products/detail/molex/0039012086/930285" TargetMode="External"/><Relationship Id="rId16" Type="http://schemas.openxmlformats.org/officeDocument/2006/relationships/hyperlink" Target="https://www.digikey.com/en/products/detail/boyd-laconia-llc/PAAD04010BH-0000/20532210" TargetMode="External"/><Relationship Id="rId29" Type="http://schemas.openxmlformats.org/officeDocument/2006/relationships/hyperlink" Target="https://www.digikey.com/en/products/detail/w%C3%BCrth-elektronik/150080AS75000/11479384" TargetMode="External"/><Relationship Id="rId11" Type="http://schemas.openxmlformats.org/officeDocument/2006/relationships/hyperlink" Target="https://www.digikey.com/en/products/detail/w%C3%BCrth-elektronik/61900113722DEC/2508640" TargetMode="External"/><Relationship Id="rId24" Type="http://schemas.openxmlformats.org/officeDocument/2006/relationships/hyperlink" Target="https://www.digikey.com/en/products/detail/te-connectivity-amp-connectors/130517/1864399" TargetMode="External"/><Relationship Id="rId32" Type="http://schemas.openxmlformats.org/officeDocument/2006/relationships/hyperlink" Target="https://www.digikey.com/en/products/detail/w%C3%BCrth-elektronik/61301611821/6137797" TargetMode="External"/><Relationship Id="rId37" Type="http://schemas.openxmlformats.org/officeDocument/2006/relationships/hyperlink" Target="https://www.digikey.com/en/products/detail/vishay-dale/crcw08053k74fkea/1175701" TargetMode="External"/><Relationship Id="rId40" Type="http://schemas.openxmlformats.org/officeDocument/2006/relationships/hyperlink" Target="https://www.digikey.com/en/products/detail/vishay-dale/CRCW08051K00FKEA/1175637" TargetMode="External"/><Relationship Id="rId45" Type="http://schemas.openxmlformats.org/officeDocument/2006/relationships/hyperlink" Target="https://www.digikey.com/en/products/detail/texas-instruments/SN74AHCT125DR/376412" TargetMode="External"/><Relationship Id="rId5" Type="http://schemas.openxmlformats.org/officeDocument/2006/relationships/hyperlink" Target="https://www.digikey.com/en/products/detail/molex/0430251800/531407" TargetMode="External"/><Relationship Id="rId15" Type="http://schemas.openxmlformats.org/officeDocument/2006/relationships/hyperlink" Target="https://www.digikey.com/short/q54m7hm0" TargetMode="External"/><Relationship Id="rId23" Type="http://schemas.openxmlformats.org/officeDocument/2006/relationships/hyperlink" Target="https://www.digikey.com/en/products/detail/te-connectivity-amp-connectors/350561-1/287669" TargetMode="External"/><Relationship Id="rId28" Type="http://schemas.openxmlformats.org/officeDocument/2006/relationships/hyperlink" Target="https://www.digikey.com/en/products/detail/w%C3%BCrth-elektronik/150080VS75000/4489924" TargetMode="External"/><Relationship Id="rId36" Type="http://schemas.openxmlformats.org/officeDocument/2006/relationships/hyperlink" Target="https://www.digikey.com/en/products/detail/w%C3%BCrth-elektronik/61300311121/4846825" TargetMode="External"/><Relationship Id="rId49" Type="http://schemas.openxmlformats.org/officeDocument/2006/relationships/hyperlink" Target="https://github.com/jcwebber93/DP3EXB" TargetMode="External"/><Relationship Id="rId10" Type="http://schemas.openxmlformats.org/officeDocument/2006/relationships/hyperlink" Target="https://www.digikey.com/en/products/detail/w%C3%BCrth-elektronik/61900411621/2508638" TargetMode="External"/><Relationship Id="rId19" Type="http://schemas.openxmlformats.org/officeDocument/2006/relationships/hyperlink" Target="https://www.digikey.com/en/products/detail/te-connectivity-amp-connectors/350782-1/213758" TargetMode="External"/><Relationship Id="rId31" Type="http://schemas.openxmlformats.org/officeDocument/2006/relationships/hyperlink" Target="https://www.digikey.com/en/products/category/rectangular-connectors/2027" TargetMode="External"/><Relationship Id="rId44" Type="http://schemas.openxmlformats.org/officeDocument/2006/relationships/hyperlink" Target="https://www.digikey.com/en/products/detail/vishay-dale/CRCW08051K00FKEA/1175637" TargetMode="External"/><Relationship Id="rId52" Type="http://schemas.openxmlformats.org/officeDocument/2006/relationships/hyperlink" Target="https://github.com/jcwebber93/DuePrint3/blob/v2.5.0/48VDC%20Plate.STEP" TargetMode="External"/><Relationship Id="rId4" Type="http://schemas.openxmlformats.org/officeDocument/2006/relationships/hyperlink" Target="https://www.digikey.com/en/products/detail/molex/0039012206/4693014" TargetMode="External"/><Relationship Id="rId9" Type="http://schemas.openxmlformats.org/officeDocument/2006/relationships/hyperlink" Target="https://www.digikey.com/en/products/detail/w%C3%BCrth-elektronik/61900211621/2508636" TargetMode="External"/><Relationship Id="rId14" Type="http://schemas.openxmlformats.org/officeDocument/2006/relationships/hyperlink" Target="https://www.digikey.com/en/products/detail/molex/0039000046/1643436" TargetMode="External"/><Relationship Id="rId22" Type="http://schemas.openxmlformats.org/officeDocument/2006/relationships/hyperlink" Target="https://www.digikey.com/en/products/detail/te-connectivity-amp-connectors/350218-1/287751" TargetMode="External"/><Relationship Id="rId27" Type="http://schemas.openxmlformats.org/officeDocument/2006/relationships/hyperlink" Target="https://www.digikey.com/en/products/detail/w%C3%BCrth-elektronik/150080BS75000/4489912" TargetMode="External"/><Relationship Id="rId30" Type="http://schemas.openxmlformats.org/officeDocument/2006/relationships/hyperlink" Target="https://www.digikey.com/en/products/detail/molex/0436500315/283462" TargetMode="External"/><Relationship Id="rId35" Type="http://schemas.openxmlformats.org/officeDocument/2006/relationships/hyperlink" Target="https://www.digikey.com/en/products/detail/stewart-connector/SS-6466S-A-PG1/1642347" TargetMode="External"/><Relationship Id="rId43" Type="http://schemas.openxmlformats.org/officeDocument/2006/relationships/hyperlink" Target="https://www.digikey.com/en/products/detail/vishay-dale/CRCW08052K00FKEA/1175669" TargetMode="External"/><Relationship Id="rId48" Type="http://schemas.openxmlformats.org/officeDocument/2006/relationships/hyperlink" Target="https://www.amazon.com/dp/B08PVPTNZL?th=1" TargetMode="External"/><Relationship Id="rId8" Type="http://schemas.openxmlformats.org/officeDocument/2006/relationships/hyperlink" Target="https://www.digikey.com/en/products/detail/w%C3%BCrth-elektronik/61900511621/2508639" TargetMode="External"/><Relationship Id="rId51" Type="http://schemas.openxmlformats.org/officeDocument/2006/relationships/hyperlink" Target="https://github.com/jcwebber93/DuePrint3/blob/v2.5.0/Interface%20Plate.STEP" TargetMode="External"/><Relationship Id="rId3" Type="http://schemas.openxmlformats.org/officeDocument/2006/relationships/hyperlink" Target="https://www.digikey.com/en/products/detail/molex/0039012205/930279" TargetMode="External"/><Relationship Id="rId12" Type="http://schemas.openxmlformats.org/officeDocument/2006/relationships/hyperlink" Target="https://www.digikey.com/en/products/detail/mean-well-usa-inc/LRS-75-48/7705054" TargetMode="External"/><Relationship Id="rId17" Type="http://schemas.openxmlformats.org/officeDocument/2006/relationships/hyperlink" Target="https://www.digikey.com/en/products/detail/molex/0436450200/268974" TargetMode="External"/><Relationship Id="rId25" Type="http://schemas.openxmlformats.org/officeDocument/2006/relationships/hyperlink" Target="https://www.digikey.com/en/products/detail/samsung-electro-mechanics/CL21B103KAANNNC/3888092" TargetMode="External"/><Relationship Id="rId33" Type="http://schemas.openxmlformats.org/officeDocument/2006/relationships/hyperlink" Target="https://www.digikey.com/en/products/detail/sullins-connector-solutions/QPC02SXGN-RC/2618262" TargetMode="External"/><Relationship Id="rId38" Type="http://schemas.openxmlformats.org/officeDocument/2006/relationships/hyperlink" Target="https://www.digikey.com/en/products/detail/vishay-dale/CRCW080531K6FKEA/1175806" TargetMode="External"/><Relationship Id="rId46" Type="http://schemas.openxmlformats.org/officeDocument/2006/relationships/hyperlink" Target="https://www.digikey.com/en/products/detail/molex/0436500215/283461" TargetMode="External"/><Relationship Id="rId20" Type="http://schemas.openxmlformats.org/officeDocument/2006/relationships/hyperlink" Target="https://www.digikey.com/en/products/detail/te-connectivity-amp-connectors/350570-1/287662" TargetMode="External"/><Relationship Id="rId41" Type="http://schemas.openxmlformats.org/officeDocument/2006/relationships/hyperlink" Target="https://www.digikey.com/en/products/detail/vishay-dale/crcw080510k0fkea/1175751" TargetMode="External"/><Relationship Id="rId1" Type="http://schemas.openxmlformats.org/officeDocument/2006/relationships/hyperlink" Target="https://www.filastruder.com/collections/duet3d/products/duet-3-mainboard-6hc" TargetMode="External"/><Relationship Id="rId6" Type="http://schemas.openxmlformats.org/officeDocument/2006/relationships/hyperlink" Target="https://www.digikey.com/en/products/detail/jst-sales-america-inc/VHR-4N/608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B641-D666-4847-A317-F8C12FBC4158}">
  <dimension ref="A1:I67"/>
  <sheetViews>
    <sheetView tabSelected="1" workbookViewId="0">
      <selection activeCell="E35" sqref="E35"/>
    </sheetView>
  </sheetViews>
  <sheetFormatPr defaultRowHeight="15" x14ac:dyDescent="0.25"/>
  <cols>
    <col min="1" max="1" width="9.7109375" style="5" bestFit="1" customWidth="1"/>
    <col min="2" max="2" width="18.85546875" style="1" bestFit="1" customWidth="1"/>
    <col min="3" max="3" width="31.140625" style="1" bestFit="1" customWidth="1"/>
    <col min="4" max="4" width="13.28515625" style="1" bestFit="1" customWidth="1"/>
    <col min="5" max="5" width="40.140625" style="1" bestFit="1" customWidth="1"/>
    <col min="6" max="6" width="11.5703125" style="4" bestFit="1" customWidth="1"/>
    <col min="7" max="7" width="15.28515625" style="4" bestFit="1" customWidth="1"/>
    <col min="8" max="8" width="70.7109375" style="3" customWidth="1"/>
    <col min="9" max="9" width="101.42578125" style="1" bestFit="1" customWidth="1"/>
    <col min="10" max="16384" width="9.140625" style="1"/>
  </cols>
  <sheetData>
    <row r="1" spans="1:9" x14ac:dyDescent="0.25">
      <c r="F1" s="7">
        <f>SUM(G:G)</f>
        <v>661.00657600000034</v>
      </c>
      <c r="H1" s="10" t="s">
        <v>105</v>
      </c>
    </row>
    <row r="2" spans="1:9" s="6" customForma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8</v>
      </c>
      <c r="F2" s="11" t="s">
        <v>4</v>
      </c>
      <c r="G2" s="11" t="s">
        <v>5</v>
      </c>
      <c r="H2" s="8" t="s">
        <v>7</v>
      </c>
      <c r="I2" s="6" t="s">
        <v>6</v>
      </c>
    </row>
    <row r="3" spans="1:9" x14ac:dyDescent="0.25">
      <c r="A3" s="5">
        <v>1</v>
      </c>
      <c r="C3" s="1" t="s">
        <v>9</v>
      </c>
      <c r="D3" s="1">
        <v>1</v>
      </c>
      <c r="F3" s="4">
        <v>269.99</v>
      </c>
      <c r="G3" s="4">
        <f>D3*F3</f>
        <v>269.99</v>
      </c>
      <c r="I3" s="2" t="s">
        <v>10</v>
      </c>
    </row>
    <row r="4" spans="1:9" x14ac:dyDescent="0.25">
      <c r="A4" s="5">
        <v>2</v>
      </c>
      <c r="C4" s="1" t="s">
        <v>124</v>
      </c>
      <c r="D4" s="1">
        <v>1</v>
      </c>
      <c r="F4" s="4">
        <v>30</v>
      </c>
      <c r="G4" s="4">
        <f t="shared" ref="G4:G47" si="0">D4*F4</f>
        <v>30</v>
      </c>
    </row>
    <row r="5" spans="1:9" x14ac:dyDescent="0.25">
      <c r="A5" s="5">
        <v>3</v>
      </c>
      <c r="B5" s="1" t="s">
        <v>63</v>
      </c>
      <c r="C5" s="1" t="s">
        <v>64</v>
      </c>
      <c r="D5" s="1">
        <v>1</v>
      </c>
      <c r="F5" s="4">
        <v>14.1</v>
      </c>
      <c r="G5" s="4">
        <f t="shared" si="0"/>
        <v>14.1</v>
      </c>
      <c r="I5" s="2" t="s">
        <v>65</v>
      </c>
    </row>
    <row r="6" spans="1:9" ht="45" x14ac:dyDescent="0.25">
      <c r="A6" s="5">
        <v>4</v>
      </c>
      <c r="B6" s="1" t="s">
        <v>108</v>
      </c>
      <c r="C6" s="1" t="s">
        <v>126</v>
      </c>
      <c r="D6" s="1">
        <v>2</v>
      </c>
      <c r="E6" s="1" t="s">
        <v>109</v>
      </c>
      <c r="F6" s="4">
        <v>5.33</v>
      </c>
      <c r="G6" s="4">
        <f>D6*F6</f>
        <v>10.66</v>
      </c>
      <c r="H6" s="3" t="s">
        <v>125</v>
      </c>
      <c r="I6" s="2" t="s">
        <v>110</v>
      </c>
    </row>
    <row r="7" spans="1:9" x14ac:dyDescent="0.25">
      <c r="A7" s="5">
        <v>5</v>
      </c>
      <c r="B7" s="1" t="s">
        <v>84</v>
      </c>
      <c r="C7" s="1" t="s">
        <v>180</v>
      </c>
      <c r="D7" s="1">
        <v>1</v>
      </c>
      <c r="E7" s="1" t="s">
        <v>153</v>
      </c>
      <c r="F7" s="4">
        <v>0.1</v>
      </c>
      <c r="G7" s="4">
        <f>D7*F7</f>
        <v>0.1</v>
      </c>
      <c r="H7" s="1"/>
      <c r="I7" s="2" t="s">
        <v>83</v>
      </c>
    </row>
    <row r="8" spans="1:9" x14ac:dyDescent="0.25">
      <c r="A8" s="5">
        <v>6</v>
      </c>
      <c r="B8" s="1" t="s">
        <v>29</v>
      </c>
      <c r="C8" s="1" t="s">
        <v>179</v>
      </c>
      <c r="D8" s="1">
        <v>2</v>
      </c>
      <c r="E8" s="1" t="s">
        <v>152</v>
      </c>
      <c r="F8" s="12">
        <v>0.1</v>
      </c>
      <c r="G8" s="12">
        <f t="shared" ref="G8:G11" si="1">D8*F8</f>
        <v>0.2</v>
      </c>
      <c r="H8" s="1"/>
      <c r="I8" s="2" t="s">
        <v>20</v>
      </c>
    </row>
    <row r="9" spans="1:9" x14ac:dyDescent="0.25">
      <c r="A9" s="5">
        <v>7</v>
      </c>
      <c r="B9" s="1" t="s">
        <v>151</v>
      </c>
      <c r="C9" s="1" t="s">
        <v>165</v>
      </c>
      <c r="D9" s="1">
        <v>1</v>
      </c>
      <c r="E9" s="1" t="s">
        <v>161</v>
      </c>
      <c r="F9" s="12">
        <v>0.19</v>
      </c>
      <c r="G9" s="12">
        <f t="shared" si="1"/>
        <v>0.19</v>
      </c>
      <c r="H9" s="1"/>
      <c r="I9" s="2" t="s">
        <v>156</v>
      </c>
    </row>
    <row r="10" spans="1:9" x14ac:dyDescent="0.25">
      <c r="A10" s="5">
        <v>8</v>
      </c>
      <c r="B10" s="1" t="s">
        <v>150</v>
      </c>
      <c r="C10" s="1" t="s">
        <v>164</v>
      </c>
      <c r="D10" s="1">
        <v>1</v>
      </c>
      <c r="E10" s="1" t="s">
        <v>162</v>
      </c>
      <c r="F10" s="12">
        <v>0.19</v>
      </c>
      <c r="G10" s="12">
        <f t="shared" si="1"/>
        <v>0.19</v>
      </c>
      <c r="H10" s="1"/>
      <c r="I10" s="2" t="s">
        <v>157</v>
      </c>
    </row>
    <row r="11" spans="1:9" x14ac:dyDescent="0.25">
      <c r="A11" s="5">
        <v>9</v>
      </c>
      <c r="B11" s="1" t="s">
        <v>149</v>
      </c>
      <c r="C11" s="1" t="s">
        <v>166</v>
      </c>
      <c r="D11" s="1">
        <v>1</v>
      </c>
      <c r="E11" s="1" t="s">
        <v>163</v>
      </c>
      <c r="F11" s="12">
        <v>0.25</v>
      </c>
      <c r="G11" s="12">
        <f t="shared" si="1"/>
        <v>0.25</v>
      </c>
      <c r="H11" s="1"/>
      <c r="I11" s="2" t="s">
        <v>158</v>
      </c>
    </row>
    <row r="12" spans="1:9" x14ac:dyDescent="0.25">
      <c r="A12" s="5">
        <v>10</v>
      </c>
      <c r="B12" s="1" t="s">
        <v>190</v>
      </c>
      <c r="C12" s="1" t="s">
        <v>11</v>
      </c>
      <c r="D12" s="1">
        <v>1</v>
      </c>
      <c r="E12" s="1" t="s">
        <v>18</v>
      </c>
      <c r="F12" s="4">
        <v>2.77</v>
      </c>
      <c r="G12" s="4">
        <f t="shared" ref="G12:G13" si="2">D12*F12</f>
        <v>2.77</v>
      </c>
      <c r="H12" s="1"/>
      <c r="I12" s="2" t="s">
        <v>191</v>
      </c>
    </row>
    <row r="13" spans="1:9" x14ac:dyDescent="0.25">
      <c r="A13" s="5">
        <v>11</v>
      </c>
      <c r="B13" s="1">
        <v>436500315</v>
      </c>
      <c r="C13" s="1" t="s">
        <v>154</v>
      </c>
      <c r="D13" s="1">
        <v>1</v>
      </c>
      <c r="E13" s="1" t="s">
        <v>148</v>
      </c>
      <c r="F13" s="4">
        <v>1.1499999999999999</v>
      </c>
      <c r="G13" s="4">
        <f t="shared" si="2"/>
        <v>1.1499999999999999</v>
      </c>
      <c r="H13" s="1"/>
      <c r="I13" s="2" t="s">
        <v>159</v>
      </c>
    </row>
    <row r="14" spans="1:9" x14ac:dyDescent="0.25">
      <c r="A14" s="5">
        <v>12</v>
      </c>
      <c r="B14" s="1" t="s">
        <v>147</v>
      </c>
      <c r="C14" s="1" t="s">
        <v>76</v>
      </c>
      <c r="D14" s="1">
        <v>1</v>
      </c>
      <c r="E14" s="1" t="s">
        <v>17</v>
      </c>
      <c r="F14" s="4">
        <v>0.47</v>
      </c>
      <c r="G14" s="4">
        <f t="shared" ref="G14:G17" si="3">D14*F14</f>
        <v>0.47</v>
      </c>
      <c r="H14" s="1"/>
      <c r="I14" s="2" t="s">
        <v>160</v>
      </c>
    </row>
    <row r="15" spans="1:9" x14ac:dyDescent="0.25">
      <c r="A15" s="5">
        <v>13</v>
      </c>
      <c r="B15" s="1" t="s">
        <v>73</v>
      </c>
      <c r="C15" s="1" t="s">
        <v>74</v>
      </c>
      <c r="D15" s="1">
        <v>1</v>
      </c>
      <c r="E15" s="1" t="s">
        <v>97</v>
      </c>
      <c r="F15" s="4">
        <v>0.86</v>
      </c>
      <c r="G15" s="4">
        <f t="shared" si="3"/>
        <v>0.86</v>
      </c>
      <c r="H15" s="1"/>
      <c r="I15" s="2" t="s">
        <v>75</v>
      </c>
    </row>
    <row r="16" spans="1:9" x14ac:dyDescent="0.25">
      <c r="A16" s="5">
        <v>14</v>
      </c>
      <c r="B16" s="1" t="s">
        <v>146</v>
      </c>
      <c r="C16" s="1" t="s">
        <v>177</v>
      </c>
      <c r="D16" s="1">
        <v>2</v>
      </c>
      <c r="E16" s="1" t="s">
        <v>145</v>
      </c>
      <c r="F16" s="4">
        <v>0.61</v>
      </c>
      <c r="G16" s="4">
        <f t="shared" si="3"/>
        <v>1.22</v>
      </c>
      <c r="H16" s="1"/>
      <c r="I16" s="2" t="s">
        <v>72</v>
      </c>
    </row>
    <row r="17" spans="1:9" x14ac:dyDescent="0.25">
      <c r="A17" s="5">
        <v>15</v>
      </c>
      <c r="B17" s="1">
        <v>61300311121</v>
      </c>
      <c r="C17" s="1" t="s">
        <v>16</v>
      </c>
      <c r="D17" s="1">
        <v>2</v>
      </c>
      <c r="E17" s="1" t="s">
        <v>144</v>
      </c>
      <c r="F17" s="4">
        <v>0.13</v>
      </c>
      <c r="G17" s="4">
        <f t="shared" si="3"/>
        <v>0.26</v>
      </c>
      <c r="H17" s="1" t="s">
        <v>15</v>
      </c>
      <c r="I17" s="2" t="s">
        <v>143</v>
      </c>
    </row>
    <row r="18" spans="1:9" x14ac:dyDescent="0.25">
      <c r="A18" s="5">
        <v>16</v>
      </c>
      <c r="B18" s="1" t="s">
        <v>192</v>
      </c>
      <c r="C18" s="1" t="s">
        <v>70</v>
      </c>
      <c r="D18" s="1">
        <v>2</v>
      </c>
      <c r="E18" s="1" t="s">
        <v>142</v>
      </c>
      <c r="F18" s="4">
        <v>6.91</v>
      </c>
      <c r="G18" s="4">
        <f t="shared" ref="G18:G19" si="4">D18*F18</f>
        <v>13.82</v>
      </c>
      <c r="H18" s="1"/>
      <c r="I18" s="2" t="s">
        <v>193</v>
      </c>
    </row>
    <row r="19" spans="1:9" x14ac:dyDescent="0.25">
      <c r="A19" s="5">
        <v>17</v>
      </c>
      <c r="B19" s="1">
        <v>436500215</v>
      </c>
      <c r="C19" s="1" t="s">
        <v>14</v>
      </c>
      <c r="D19" s="1">
        <v>4</v>
      </c>
      <c r="E19" s="1" t="s">
        <v>141</v>
      </c>
      <c r="F19" s="4">
        <v>0.89</v>
      </c>
      <c r="G19" s="4">
        <f t="shared" si="4"/>
        <v>3.56</v>
      </c>
      <c r="H19" s="1"/>
      <c r="I19" s="2" t="s">
        <v>13</v>
      </c>
    </row>
    <row r="20" spans="1:9" x14ac:dyDescent="0.25">
      <c r="A20" s="5">
        <v>18</v>
      </c>
      <c r="B20" s="1">
        <v>61301611821</v>
      </c>
      <c r="C20" s="1" t="s">
        <v>12</v>
      </c>
      <c r="D20" s="1">
        <v>2</v>
      </c>
      <c r="E20" s="1" t="s">
        <v>140</v>
      </c>
      <c r="F20" s="4">
        <v>0.61</v>
      </c>
      <c r="G20" s="4">
        <f t="shared" ref="G20" si="5">D20*F20</f>
        <v>1.22</v>
      </c>
      <c r="H20" s="1"/>
      <c r="I20" s="2" t="s">
        <v>71</v>
      </c>
    </row>
    <row r="21" spans="1:9" x14ac:dyDescent="0.25">
      <c r="A21" s="5">
        <v>19</v>
      </c>
      <c r="B21" s="1" t="s">
        <v>61</v>
      </c>
      <c r="C21" s="1" t="s">
        <v>178</v>
      </c>
      <c r="D21" s="1">
        <v>2</v>
      </c>
      <c r="E21" s="1" t="s">
        <v>139</v>
      </c>
      <c r="F21" s="12">
        <v>0.1</v>
      </c>
      <c r="G21" s="12">
        <f>D21*F21</f>
        <v>0.2</v>
      </c>
      <c r="H21" s="1" t="s">
        <v>155</v>
      </c>
      <c r="I21" s="2" t="s">
        <v>62</v>
      </c>
    </row>
    <row r="22" spans="1:9" x14ac:dyDescent="0.25">
      <c r="A22" s="5">
        <v>20</v>
      </c>
      <c r="B22" s="1" t="s">
        <v>31</v>
      </c>
      <c r="C22" s="1" t="s">
        <v>181</v>
      </c>
      <c r="D22" s="1">
        <v>1</v>
      </c>
      <c r="E22" s="1" t="s">
        <v>99</v>
      </c>
      <c r="F22" s="12">
        <v>0.1</v>
      </c>
      <c r="G22" s="12">
        <f t="shared" ref="G22" si="6">D22*F22</f>
        <v>0.1</v>
      </c>
      <c r="H22" s="1"/>
      <c r="I22" s="2" t="s">
        <v>22</v>
      </c>
    </row>
    <row r="23" spans="1:9" x14ac:dyDescent="0.25">
      <c r="A23" s="5">
        <v>21</v>
      </c>
      <c r="B23" s="1" t="s">
        <v>30</v>
      </c>
      <c r="C23" t="s">
        <v>182</v>
      </c>
      <c r="D23" s="1">
        <v>1</v>
      </c>
      <c r="E23" s="1" t="s">
        <v>98</v>
      </c>
      <c r="F23" s="12">
        <v>0.1</v>
      </c>
      <c r="G23" s="12">
        <f t="shared" ref="G23" si="7">D23*F23</f>
        <v>0.1</v>
      </c>
      <c r="H23" s="1"/>
      <c r="I23" s="2" t="s">
        <v>21</v>
      </c>
    </row>
    <row r="24" spans="1:9" x14ac:dyDescent="0.25">
      <c r="A24" s="5">
        <v>22</v>
      </c>
      <c r="B24" s="1" t="s">
        <v>82</v>
      </c>
      <c r="C24" s="1" t="s">
        <v>185</v>
      </c>
      <c r="D24" s="1">
        <v>1</v>
      </c>
      <c r="E24" s="1" t="s">
        <v>138</v>
      </c>
      <c r="F24" s="4">
        <v>0.1</v>
      </c>
      <c r="G24" s="4">
        <f>D24*F24</f>
        <v>0.1</v>
      </c>
      <c r="H24" s="1"/>
      <c r="I24" s="2" t="s">
        <v>137</v>
      </c>
    </row>
    <row r="25" spans="1:9" x14ac:dyDescent="0.25">
      <c r="A25" s="5">
        <v>23</v>
      </c>
      <c r="B25" s="1" t="s">
        <v>136</v>
      </c>
      <c r="C25" s="1" t="s">
        <v>19</v>
      </c>
      <c r="D25" s="1">
        <v>1</v>
      </c>
      <c r="E25" s="1" t="s">
        <v>100</v>
      </c>
      <c r="F25" s="12">
        <v>0.1</v>
      </c>
      <c r="G25" s="12">
        <f t="shared" ref="G25" si="8">D25*F25</f>
        <v>0.1</v>
      </c>
      <c r="H25" s="1"/>
      <c r="I25" s="2" t="s">
        <v>25</v>
      </c>
    </row>
    <row r="26" spans="1:9" x14ac:dyDescent="0.25">
      <c r="A26" s="5">
        <v>24</v>
      </c>
      <c r="B26" s="1" t="s">
        <v>32</v>
      </c>
      <c r="C26" s="1" t="s">
        <v>186</v>
      </c>
      <c r="D26" s="1">
        <v>8</v>
      </c>
      <c r="E26" s="1" t="s">
        <v>135</v>
      </c>
      <c r="F26" s="12">
        <v>0.1</v>
      </c>
      <c r="G26" s="12">
        <f t="shared" ref="G26:G27" si="9">D26*F26</f>
        <v>0.8</v>
      </c>
      <c r="H26" s="1"/>
      <c r="I26" s="2" t="s">
        <v>23</v>
      </c>
    </row>
    <row r="27" spans="1:9" x14ac:dyDescent="0.25">
      <c r="A27" s="5">
        <v>25</v>
      </c>
      <c r="B27" s="1" t="s">
        <v>134</v>
      </c>
      <c r="C27" s="1" t="s">
        <v>133</v>
      </c>
      <c r="D27" s="1">
        <v>2</v>
      </c>
      <c r="E27" s="1" t="s">
        <v>132</v>
      </c>
      <c r="F27" s="12">
        <v>0.1</v>
      </c>
      <c r="G27" s="12">
        <f t="shared" si="9"/>
        <v>0.2</v>
      </c>
      <c r="H27" s="1"/>
      <c r="I27" s="2" t="s">
        <v>131</v>
      </c>
    </row>
    <row r="28" spans="1:9" x14ac:dyDescent="0.25">
      <c r="A28" s="5">
        <v>26</v>
      </c>
      <c r="B28" s="1" t="s">
        <v>33</v>
      </c>
      <c r="C28" t="s">
        <v>183</v>
      </c>
      <c r="D28" s="1">
        <v>3</v>
      </c>
      <c r="E28" s="1" t="s">
        <v>130</v>
      </c>
      <c r="F28" s="12">
        <v>0.1</v>
      </c>
      <c r="G28" s="12">
        <f t="shared" ref="G28:G31" si="10">D28*F28</f>
        <v>0.30000000000000004</v>
      </c>
      <c r="H28" s="1"/>
      <c r="I28" s="2" t="s">
        <v>24</v>
      </c>
    </row>
    <row r="29" spans="1:9" x14ac:dyDescent="0.25">
      <c r="A29" s="5">
        <v>27</v>
      </c>
      <c r="B29" s="1" t="s">
        <v>34</v>
      </c>
      <c r="C29" t="s">
        <v>184</v>
      </c>
      <c r="D29" s="1">
        <v>3</v>
      </c>
      <c r="E29" s="1" t="s">
        <v>129</v>
      </c>
      <c r="F29" s="12">
        <v>0.1</v>
      </c>
      <c r="G29" s="12">
        <f t="shared" si="10"/>
        <v>0.30000000000000004</v>
      </c>
      <c r="H29" s="1"/>
      <c r="I29" s="2" t="s">
        <v>25</v>
      </c>
    </row>
    <row r="30" spans="1:9" x14ac:dyDescent="0.25">
      <c r="A30" s="5">
        <v>28</v>
      </c>
      <c r="B30" s="1" t="s">
        <v>128</v>
      </c>
      <c r="C30" s="1" t="s">
        <v>128</v>
      </c>
      <c r="D30" s="1">
        <v>1</v>
      </c>
      <c r="E30" s="1" t="s">
        <v>96</v>
      </c>
      <c r="F30" s="12">
        <v>40</v>
      </c>
      <c r="G30" s="12">
        <f t="shared" si="10"/>
        <v>40</v>
      </c>
      <c r="H30" s="1" t="s">
        <v>203</v>
      </c>
      <c r="I30" s="2" t="s">
        <v>204</v>
      </c>
    </row>
    <row r="31" spans="1:9" x14ac:dyDescent="0.25">
      <c r="A31" s="5">
        <v>29</v>
      </c>
      <c r="B31" s="1" t="s">
        <v>28</v>
      </c>
      <c r="C31" s="1" t="s">
        <v>26</v>
      </c>
      <c r="D31" s="1">
        <v>2</v>
      </c>
      <c r="E31" s="1" t="s">
        <v>127</v>
      </c>
      <c r="F31" s="12">
        <v>0.4</v>
      </c>
      <c r="G31" s="12">
        <f t="shared" si="10"/>
        <v>0.8</v>
      </c>
      <c r="H31" s="1"/>
      <c r="I31" s="2" t="s">
        <v>27</v>
      </c>
    </row>
    <row r="32" spans="1:9" x14ac:dyDescent="0.25">
      <c r="A32" s="5">
        <v>30</v>
      </c>
      <c r="B32" s="1">
        <v>39012086</v>
      </c>
      <c r="C32" s="1" t="s">
        <v>35</v>
      </c>
      <c r="D32" s="1">
        <v>1</v>
      </c>
      <c r="E32" s="1" t="s">
        <v>167</v>
      </c>
      <c r="F32" s="12">
        <v>0.66</v>
      </c>
      <c r="G32" s="12">
        <f t="shared" si="0"/>
        <v>0.66</v>
      </c>
      <c r="I32" s="9" t="s">
        <v>36</v>
      </c>
    </row>
    <row r="33" spans="1:9" x14ac:dyDescent="0.25">
      <c r="A33" s="5">
        <v>31</v>
      </c>
      <c r="B33" s="1">
        <v>39012205</v>
      </c>
      <c r="C33" s="1" t="s">
        <v>37</v>
      </c>
      <c r="D33" s="1">
        <v>1</v>
      </c>
      <c r="E33" s="1" t="s">
        <v>168</v>
      </c>
      <c r="F33" s="12">
        <v>1.48</v>
      </c>
      <c r="G33" s="12">
        <f t="shared" si="0"/>
        <v>1.48</v>
      </c>
      <c r="I33" s="9" t="s">
        <v>38</v>
      </c>
    </row>
    <row r="34" spans="1:9" x14ac:dyDescent="0.25">
      <c r="A34" s="5">
        <v>32</v>
      </c>
      <c r="B34" s="1">
        <v>39012206</v>
      </c>
      <c r="C34" s="1" t="s">
        <v>39</v>
      </c>
      <c r="D34" s="1">
        <v>1</v>
      </c>
      <c r="E34" s="1" t="s">
        <v>169</v>
      </c>
      <c r="F34" s="12">
        <v>1.2</v>
      </c>
      <c r="G34" s="12">
        <f t="shared" si="0"/>
        <v>1.2</v>
      </c>
      <c r="I34" s="9" t="s">
        <v>40</v>
      </c>
    </row>
    <row r="35" spans="1:9" x14ac:dyDescent="0.25">
      <c r="A35" s="5">
        <v>33</v>
      </c>
      <c r="B35" s="1">
        <v>39000048</v>
      </c>
      <c r="C35" s="1" t="s">
        <v>66</v>
      </c>
      <c r="D35" s="1">
        <v>18</v>
      </c>
      <c r="F35" s="12">
        <v>6.0999999999999999E-2</v>
      </c>
      <c r="G35" s="12">
        <f t="shared" si="0"/>
        <v>1.0979999999999999</v>
      </c>
      <c r="I35" s="9" t="s">
        <v>68</v>
      </c>
    </row>
    <row r="36" spans="1:9" x14ac:dyDescent="0.25">
      <c r="A36" s="5">
        <v>34</v>
      </c>
      <c r="B36" s="1">
        <v>39000046</v>
      </c>
      <c r="C36" s="1" t="s">
        <v>67</v>
      </c>
      <c r="D36" s="1">
        <v>6</v>
      </c>
      <c r="F36" s="12">
        <v>5.1999999999999998E-2</v>
      </c>
      <c r="G36" s="12">
        <f t="shared" si="0"/>
        <v>0.312</v>
      </c>
      <c r="I36" s="9" t="s">
        <v>69</v>
      </c>
    </row>
    <row r="37" spans="1:9" x14ac:dyDescent="0.25">
      <c r="A37" s="5">
        <v>35</v>
      </c>
      <c r="B37" s="1">
        <v>430300010</v>
      </c>
      <c r="C37" s="1" t="s">
        <v>106</v>
      </c>
      <c r="D37" s="1">
        <v>4</v>
      </c>
      <c r="F37" s="12">
        <v>0.2</v>
      </c>
      <c r="G37" s="12">
        <f t="shared" si="0"/>
        <v>0.8</v>
      </c>
      <c r="I37" s="9" t="s">
        <v>107</v>
      </c>
    </row>
    <row r="38" spans="1:9" x14ac:dyDescent="0.25">
      <c r="A38" s="5">
        <v>36</v>
      </c>
      <c r="B38" s="1">
        <v>436450200</v>
      </c>
      <c r="C38" s="1" t="s">
        <v>111</v>
      </c>
      <c r="D38" s="1">
        <v>2</v>
      </c>
      <c r="E38" s="1" t="s">
        <v>112</v>
      </c>
      <c r="F38" s="4">
        <v>0.39</v>
      </c>
      <c r="G38" s="4">
        <f>D38*F38</f>
        <v>0.78</v>
      </c>
      <c r="I38" s="2" t="s">
        <v>113</v>
      </c>
    </row>
    <row r="39" spans="1:9" x14ac:dyDescent="0.25">
      <c r="A39" s="5">
        <v>37</v>
      </c>
      <c r="B39" s="1" t="s">
        <v>77</v>
      </c>
      <c r="C39" s="1" t="s">
        <v>79</v>
      </c>
      <c r="D39" s="1">
        <v>1</v>
      </c>
      <c r="E39" s="1" t="s">
        <v>170</v>
      </c>
      <c r="F39" s="12">
        <v>0.48</v>
      </c>
      <c r="G39" s="12">
        <f t="shared" si="0"/>
        <v>0.48</v>
      </c>
      <c r="I39" s="9" t="s">
        <v>78</v>
      </c>
    </row>
    <row r="40" spans="1:9" x14ac:dyDescent="0.25">
      <c r="A40" s="5">
        <v>38</v>
      </c>
      <c r="B40" s="1" t="s">
        <v>81</v>
      </c>
      <c r="C40" s="1" t="s">
        <v>80</v>
      </c>
      <c r="D40" s="1">
        <v>1</v>
      </c>
      <c r="E40" s="1" t="s">
        <v>171</v>
      </c>
      <c r="F40" s="12">
        <v>1.07</v>
      </c>
      <c r="G40" s="12">
        <f t="shared" si="0"/>
        <v>1.07</v>
      </c>
      <c r="I40" s="9" t="s">
        <v>41</v>
      </c>
    </row>
    <row r="41" spans="1:9" x14ac:dyDescent="0.25">
      <c r="A41" s="5">
        <v>39</v>
      </c>
      <c r="B41" s="1" t="s">
        <v>199</v>
      </c>
      <c r="C41" s="1" t="s">
        <v>187</v>
      </c>
      <c r="D41" s="1">
        <v>27</v>
      </c>
      <c r="F41" s="12">
        <v>2.1000000000000001E-2</v>
      </c>
      <c r="G41" s="12">
        <f t="shared" si="0"/>
        <v>0.56700000000000006</v>
      </c>
      <c r="I41" s="9" t="s">
        <v>188</v>
      </c>
    </row>
    <row r="42" spans="1:9" x14ac:dyDescent="0.25">
      <c r="A42" s="5">
        <v>40</v>
      </c>
      <c r="B42" s="1" t="s">
        <v>44</v>
      </c>
      <c r="C42" s="1" t="s">
        <v>46</v>
      </c>
      <c r="D42" s="1">
        <v>3</v>
      </c>
      <c r="E42" s="1" t="s">
        <v>42</v>
      </c>
      <c r="F42" s="12">
        <v>0.12</v>
      </c>
      <c r="G42" s="12">
        <f t="shared" si="0"/>
        <v>0.36</v>
      </c>
      <c r="H42" s="3" t="s">
        <v>43</v>
      </c>
      <c r="I42" s="9" t="s">
        <v>45</v>
      </c>
    </row>
    <row r="43" spans="1:9" x14ac:dyDescent="0.25">
      <c r="A43" s="5">
        <v>41</v>
      </c>
      <c r="B43" s="1" t="s">
        <v>47</v>
      </c>
      <c r="C43" s="1" t="s">
        <v>49</v>
      </c>
      <c r="D43" s="1">
        <v>12</v>
      </c>
      <c r="F43" s="12">
        <v>0.12</v>
      </c>
      <c r="G43" s="12">
        <f t="shared" si="0"/>
        <v>1.44</v>
      </c>
      <c r="H43" s="3" t="s">
        <v>43</v>
      </c>
      <c r="I43" s="9" t="s">
        <v>48</v>
      </c>
    </row>
    <row r="44" spans="1:9" x14ac:dyDescent="0.25">
      <c r="A44" s="5">
        <v>42</v>
      </c>
      <c r="B44" s="1">
        <v>61900511621</v>
      </c>
      <c r="C44" s="1" t="s">
        <v>51</v>
      </c>
      <c r="D44" s="1">
        <v>9</v>
      </c>
      <c r="E44" s="1" t="s">
        <v>174</v>
      </c>
      <c r="F44" s="12">
        <v>0.17</v>
      </c>
      <c r="G44" s="12">
        <f t="shared" si="0"/>
        <v>1.53</v>
      </c>
      <c r="H44" s="3" t="s">
        <v>43</v>
      </c>
      <c r="I44" s="9" t="s">
        <v>50</v>
      </c>
    </row>
    <row r="45" spans="1:9" x14ac:dyDescent="0.25">
      <c r="A45" s="5">
        <v>43</v>
      </c>
      <c r="B45" s="1">
        <v>61900211621</v>
      </c>
      <c r="C45" s="1" t="s">
        <v>52</v>
      </c>
      <c r="D45" s="1">
        <v>3</v>
      </c>
      <c r="E45" s="1" t="s">
        <v>175</v>
      </c>
      <c r="F45" s="12">
        <v>0.13</v>
      </c>
      <c r="G45" s="12">
        <f t="shared" si="0"/>
        <v>0.39</v>
      </c>
      <c r="H45" s="3" t="s">
        <v>43</v>
      </c>
      <c r="I45" s="9" t="s">
        <v>53</v>
      </c>
    </row>
    <row r="46" spans="1:9" x14ac:dyDescent="0.25">
      <c r="A46" s="5">
        <v>44</v>
      </c>
      <c r="B46" s="1">
        <v>61900411621</v>
      </c>
      <c r="C46" s="1" t="s">
        <v>55</v>
      </c>
      <c r="D46" s="1">
        <v>1</v>
      </c>
      <c r="E46" s="1" t="s">
        <v>176</v>
      </c>
      <c r="F46" s="12">
        <v>0.17</v>
      </c>
      <c r="G46" s="12">
        <f t="shared" si="0"/>
        <v>0.17</v>
      </c>
      <c r="H46" s="3" t="s">
        <v>43</v>
      </c>
      <c r="I46" s="9" t="s">
        <v>54</v>
      </c>
    </row>
    <row r="47" spans="1:9" x14ac:dyDescent="0.25">
      <c r="A47" s="5">
        <v>45</v>
      </c>
      <c r="B47" s="1" t="s">
        <v>56</v>
      </c>
      <c r="C47" s="1" t="s">
        <v>58</v>
      </c>
      <c r="D47" s="1">
        <v>28</v>
      </c>
      <c r="F47" s="12">
        <v>0.15</v>
      </c>
      <c r="G47" s="12">
        <f t="shared" si="0"/>
        <v>4.2</v>
      </c>
      <c r="H47" s="3" t="s">
        <v>43</v>
      </c>
      <c r="I47" s="9" t="s">
        <v>57</v>
      </c>
    </row>
    <row r="48" spans="1:9" x14ac:dyDescent="0.25">
      <c r="A48" s="5">
        <v>46</v>
      </c>
      <c r="B48" s="1" t="s">
        <v>114</v>
      </c>
      <c r="C48" s="1" t="s">
        <v>115</v>
      </c>
      <c r="D48" s="1">
        <v>6</v>
      </c>
      <c r="F48" s="4">
        <v>6.6000000000000003E-2</v>
      </c>
      <c r="G48" s="4">
        <f t="shared" ref="G48:G66" si="11">D48*F48</f>
        <v>0.39600000000000002</v>
      </c>
      <c r="I48" s="2" t="s">
        <v>94</v>
      </c>
    </row>
    <row r="49" spans="1:9" x14ac:dyDescent="0.25">
      <c r="A49" s="5">
        <v>47</v>
      </c>
      <c r="B49" t="s">
        <v>93</v>
      </c>
      <c r="C49" s="1" t="s">
        <v>116</v>
      </c>
      <c r="D49" s="1">
        <v>3</v>
      </c>
      <c r="F49" s="4">
        <v>5.8999999999999997E-2</v>
      </c>
      <c r="G49" s="4">
        <f t="shared" si="11"/>
        <v>0.17699999999999999</v>
      </c>
      <c r="I49" s="2" t="s">
        <v>95</v>
      </c>
    </row>
    <row r="50" spans="1:9" x14ac:dyDescent="0.25">
      <c r="A50" s="5">
        <v>48</v>
      </c>
      <c r="B50" t="s">
        <v>91</v>
      </c>
      <c r="C50" s="1" t="s">
        <v>117</v>
      </c>
      <c r="D50" s="1">
        <v>6</v>
      </c>
      <c r="F50" s="4">
        <v>5.8999999999999997E-2</v>
      </c>
      <c r="G50" s="4">
        <f t="shared" si="11"/>
        <v>0.35399999999999998</v>
      </c>
      <c r="I50" s="2" t="s">
        <v>92</v>
      </c>
    </row>
    <row r="51" spans="1:9" x14ac:dyDescent="0.25">
      <c r="A51" s="5">
        <v>49</v>
      </c>
      <c r="B51" t="s">
        <v>89</v>
      </c>
      <c r="C51" s="1" t="s">
        <v>118</v>
      </c>
      <c r="D51" s="1">
        <v>3</v>
      </c>
      <c r="F51" s="4">
        <v>5.8999999999999997E-2</v>
      </c>
      <c r="G51" s="4">
        <f t="shared" si="11"/>
        <v>0.17699999999999999</v>
      </c>
      <c r="I51" s="2" t="s">
        <v>90</v>
      </c>
    </row>
    <row r="52" spans="1:9" x14ac:dyDescent="0.25">
      <c r="A52" s="5">
        <v>50</v>
      </c>
      <c r="B52" s="1" t="s">
        <v>86</v>
      </c>
      <c r="C52" s="1" t="s">
        <v>119</v>
      </c>
      <c r="D52" s="1">
        <v>1</v>
      </c>
      <c r="E52" s="1" t="s">
        <v>172</v>
      </c>
      <c r="F52" s="4">
        <v>0.83</v>
      </c>
      <c r="G52" s="4">
        <f t="shared" si="11"/>
        <v>0.83</v>
      </c>
      <c r="I52" s="2" t="s">
        <v>85</v>
      </c>
    </row>
    <row r="53" spans="1:9" x14ac:dyDescent="0.25">
      <c r="A53" s="5">
        <v>51</v>
      </c>
      <c r="B53" s="1" t="s">
        <v>87</v>
      </c>
      <c r="C53" s="1" t="s">
        <v>120</v>
      </c>
      <c r="D53" s="1">
        <v>1</v>
      </c>
      <c r="E53" s="1" t="s">
        <v>173</v>
      </c>
      <c r="F53" s="4">
        <v>0.51</v>
      </c>
      <c r="G53" s="4">
        <f t="shared" si="11"/>
        <v>0.51</v>
      </c>
      <c r="I53" s="2" t="s">
        <v>88</v>
      </c>
    </row>
    <row r="54" spans="1:9" x14ac:dyDescent="0.25">
      <c r="A54" s="5">
        <v>52</v>
      </c>
      <c r="B54" s="1">
        <v>130517</v>
      </c>
      <c r="C54" s="1" t="s">
        <v>122</v>
      </c>
      <c r="D54" s="1">
        <v>10</v>
      </c>
      <c r="F54" s="4">
        <v>0.43</v>
      </c>
      <c r="G54" s="4">
        <f t="shared" si="11"/>
        <v>4.3</v>
      </c>
      <c r="H54" s="3" t="s">
        <v>123</v>
      </c>
      <c r="I54" s="2" t="s">
        <v>121</v>
      </c>
    </row>
    <row r="55" spans="1:9" x14ac:dyDescent="0.25">
      <c r="A55" s="5">
        <v>53</v>
      </c>
      <c r="C55" s="1" t="s">
        <v>59</v>
      </c>
      <c r="G55" s="4">
        <f>D55*F55</f>
        <v>0</v>
      </c>
      <c r="H55" s="3" t="s">
        <v>60</v>
      </c>
    </row>
    <row r="56" spans="1:9" x14ac:dyDescent="0.25">
      <c r="A56" s="5">
        <v>54</v>
      </c>
      <c r="B56" s="1" t="s">
        <v>101</v>
      </c>
      <c r="D56" s="1">
        <v>13.75</v>
      </c>
      <c r="F56" s="4">
        <f>12.01/25</f>
        <v>0.48039999999999999</v>
      </c>
      <c r="G56" s="4">
        <f>D56*F56</f>
        <v>6.6055000000000001</v>
      </c>
      <c r="H56" s="3" t="s">
        <v>189</v>
      </c>
    </row>
    <row r="57" spans="1:9" x14ac:dyDescent="0.25">
      <c r="A57" s="5">
        <v>55</v>
      </c>
      <c r="B57" s="1" t="s">
        <v>102</v>
      </c>
      <c r="D57" s="1">
        <v>15.25</v>
      </c>
      <c r="F57" s="4">
        <f>9.5/25</f>
        <v>0.38</v>
      </c>
      <c r="G57" s="4">
        <f>D57*F57</f>
        <v>5.7949999999999999</v>
      </c>
      <c r="H57" s="3" t="s">
        <v>189</v>
      </c>
    </row>
    <row r="58" spans="1:9" x14ac:dyDescent="0.25">
      <c r="A58" s="5">
        <v>56</v>
      </c>
      <c r="B58" s="1" t="s">
        <v>103</v>
      </c>
      <c r="D58" s="1">
        <v>36.67</v>
      </c>
      <c r="F58" s="4">
        <f>8.07/25</f>
        <v>0.32280000000000003</v>
      </c>
      <c r="G58" s="4">
        <f>D58*F58</f>
        <v>11.837076000000001</v>
      </c>
      <c r="H58" s="3" t="s">
        <v>189</v>
      </c>
    </row>
    <row r="59" spans="1:9" x14ac:dyDescent="0.25">
      <c r="A59" s="5">
        <v>57</v>
      </c>
      <c r="B59" s="1" t="s">
        <v>104</v>
      </c>
      <c r="D59" s="1">
        <v>72</v>
      </c>
      <c r="F59" s="4">
        <f>8.85/25</f>
        <v>0.35399999999999998</v>
      </c>
      <c r="G59" s="4">
        <f>D59*F59</f>
        <v>25.488</v>
      </c>
      <c r="H59" s="3" t="s">
        <v>189</v>
      </c>
    </row>
    <row r="60" spans="1:9" x14ac:dyDescent="0.25">
      <c r="A60" s="5">
        <v>58</v>
      </c>
      <c r="C60" s="1" t="s">
        <v>194</v>
      </c>
      <c r="D60" s="1">
        <v>1</v>
      </c>
      <c r="F60" s="4">
        <v>123</v>
      </c>
      <c r="G60" s="4">
        <f t="shared" si="11"/>
        <v>123</v>
      </c>
      <c r="I60" s="2" t="s">
        <v>195</v>
      </c>
    </row>
    <row r="61" spans="1:9" x14ac:dyDescent="0.25">
      <c r="A61" s="5">
        <v>59</v>
      </c>
      <c r="C61" s="1" t="s">
        <v>198</v>
      </c>
      <c r="D61" s="1">
        <v>1</v>
      </c>
      <c r="F61" s="4">
        <v>9.99</v>
      </c>
      <c r="G61" s="4">
        <f t="shared" si="11"/>
        <v>9.99</v>
      </c>
      <c r="H61" s="3" t="s">
        <v>196</v>
      </c>
      <c r="I61" s="2" t="s">
        <v>197</v>
      </c>
    </row>
    <row r="62" spans="1:9" x14ac:dyDescent="0.25">
      <c r="A62" s="5">
        <v>60</v>
      </c>
      <c r="C62" s="1" t="s">
        <v>200</v>
      </c>
      <c r="D62" s="1">
        <v>1</v>
      </c>
      <c r="F62" s="4">
        <v>30</v>
      </c>
      <c r="G62" s="4">
        <f t="shared" si="11"/>
        <v>30</v>
      </c>
      <c r="I62" s="2" t="s">
        <v>206</v>
      </c>
    </row>
    <row r="63" spans="1:9" x14ac:dyDescent="0.25">
      <c r="A63" s="5">
        <v>61</v>
      </c>
      <c r="C63" s="1" t="s">
        <v>201</v>
      </c>
      <c r="D63" s="1">
        <v>1</v>
      </c>
      <c r="F63" s="4">
        <v>15</v>
      </c>
      <c r="G63" s="4">
        <f t="shared" si="11"/>
        <v>15</v>
      </c>
      <c r="I63" s="2" t="s">
        <v>207</v>
      </c>
    </row>
    <row r="64" spans="1:9" x14ac:dyDescent="0.25">
      <c r="A64" s="5">
        <v>62</v>
      </c>
      <c r="C64" s="1" t="s">
        <v>202</v>
      </c>
      <c r="D64" s="1">
        <v>2</v>
      </c>
      <c r="F64" s="4">
        <v>8</v>
      </c>
      <c r="G64" s="4">
        <f t="shared" si="11"/>
        <v>16</v>
      </c>
      <c r="I64" s="2" t="s">
        <v>205</v>
      </c>
    </row>
    <row r="65" spans="1:7" x14ac:dyDescent="0.25">
      <c r="A65" s="5">
        <v>63</v>
      </c>
      <c r="G65" s="4">
        <f t="shared" si="11"/>
        <v>0</v>
      </c>
    </row>
    <row r="66" spans="1:7" x14ac:dyDescent="0.25">
      <c r="A66" s="5">
        <v>64</v>
      </c>
      <c r="G66" s="4">
        <f t="shared" si="11"/>
        <v>0</v>
      </c>
    </row>
    <row r="67" spans="1:7" x14ac:dyDescent="0.25">
      <c r="A67" s="5">
        <v>65</v>
      </c>
    </row>
  </sheetData>
  <autoFilter ref="A2:I63" xr:uid="{5704B641-D666-4847-A317-F8C12FBC4158}"/>
  <hyperlinks>
    <hyperlink ref="I3" r:id="rId1" xr:uid="{27B6BC92-0FDD-4B4B-925B-C8616172702B}"/>
    <hyperlink ref="I32" r:id="rId2" xr:uid="{E2082D90-2464-4E5C-B3FC-F921E6FDD7D9}"/>
    <hyperlink ref="I33" r:id="rId3" xr:uid="{798142E9-E020-4A80-9BBD-389FAE010D2E}"/>
    <hyperlink ref="I34" r:id="rId4" xr:uid="{31824BC6-0EB0-4A53-9F55-AA4D586DE62A}"/>
    <hyperlink ref="I40" r:id="rId5" xr:uid="{46AF37E1-55D5-4139-98A4-F5B154308127}"/>
    <hyperlink ref="I42" r:id="rId6" xr:uid="{C44B2E72-0CF3-4C81-BCA0-2F91ACAD5C48}"/>
    <hyperlink ref="I43" r:id="rId7" xr:uid="{886D77AE-9801-4CFB-94E0-EF694AFB84AC}"/>
    <hyperlink ref="I44" r:id="rId8" xr:uid="{FAC3FE17-0077-4C0F-8051-E38241BC89E7}"/>
    <hyperlink ref="I45" r:id="rId9" xr:uid="{D0D3BAF3-0565-40F9-ABB4-F40473053C2C}"/>
    <hyperlink ref="I46" r:id="rId10" xr:uid="{13E395D8-DF28-4EEE-ADE8-B308AC979A6B}"/>
    <hyperlink ref="I47" r:id="rId11" xr:uid="{A11EE872-4FB7-4BAB-BFF9-F03BB5ACCC6A}"/>
    <hyperlink ref="I5" r:id="rId12" xr:uid="{376CD8A6-58A6-4535-BFDB-73F13C420A17}"/>
    <hyperlink ref="I35" r:id="rId13" xr:uid="{272156EC-7A7C-4D25-AF5F-31AB665C274A}"/>
    <hyperlink ref="I36" r:id="rId14" xr:uid="{83CAD37A-9CF8-4144-8001-3DD3954A362B}"/>
    <hyperlink ref="H1" r:id="rId15" xr:uid="{523B223B-A420-49AF-9BF6-F7C265F66A4A}"/>
    <hyperlink ref="I6" r:id="rId16" xr:uid="{76F7FDAA-4C39-4831-ACFF-F125BB85CE43}"/>
    <hyperlink ref="I38" r:id="rId17" xr:uid="{767113F3-3BE8-4CA6-9EBA-3EFD3941AEC8}"/>
    <hyperlink ref="I52" r:id="rId18" xr:uid="{2DAA9165-C685-4FF0-B70D-438D8282E95E}"/>
    <hyperlink ref="I53" r:id="rId19" xr:uid="{3ABBCA0B-E206-4F8E-ABE9-3F8EC2C13D4C}"/>
    <hyperlink ref="I48" r:id="rId20" xr:uid="{0348C052-1828-4F00-8EEB-D9A862713688}"/>
    <hyperlink ref="I49" r:id="rId21" xr:uid="{C14FBA12-F24D-491A-AB8A-CA437EEDC816}"/>
    <hyperlink ref="I50" r:id="rId22" xr:uid="{8007E7CB-C955-4678-AF04-C145FE5DF04A}"/>
    <hyperlink ref="I51" r:id="rId23" xr:uid="{910BB78A-396C-40D6-8C7B-840DC751DF14}"/>
    <hyperlink ref="I54" r:id="rId24" xr:uid="{9B37E6A6-F4A2-4C14-8077-46E268B390F2}"/>
    <hyperlink ref="I7" r:id="rId25" xr:uid="{F88A17F2-FF60-4736-BBB9-A5B15898AF9F}"/>
    <hyperlink ref="I8" r:id="rId26" xr:uid="{2798A3C1-039D-4A21-A879-AD5E978F698F}"/>
    <hyperlink ref="I9" r:id="rId27" xr:uid="{BE527A69-75A0-46C3-9157-BC5F84A171DF}"/>
    <hyperlink ref="I10" r:id="rId28" xr:uid="{36C59BB2-DB76-4E8C-87E2-E108F2C569BC}"/>
    <hyperlink ref="I11" r:id="rId29" xr:uid="{9A4213CE-4E9B-47EC-BA33-C9DDA71EDB86}"/>
    <hyperlink ref="I13" r:id="rId30" xr:uid="{CD1ED263-B741-43F3-A125-2B5D74403F54}"/>
    <hyperlink ref="I14" r:id="rId31" xr:uid="{7B170C38-7848-4AB1-BC2C-7E181ED617AB}"/>
    <hyperlink ref="I20" r:id="rId32" xr:uid="{065E91BD-32E2-46C8-BD5E-75A0FC77FA8E}"/>
    <hyperlink ref="I21" r:id="rId33" xr:uid="{9F3400F3-DAF8-4CE9-AC2B-BD7A78E11B42}"/>
    <hyperlink ref="I15" r:id="rId34" xr:uid="{78040127-BA99-49D3-9200-5A9610A9D099}"/>
    <hyperlink ref="I16" r:id="rId35" xr:uid="{2A05573A-8057-448E-9006-C71FC6E162EE}"/>
    <hyperlink ref="I17" r:id="rId36" xr:uid="{3FEDE142-ECE3-4499-8C76-17E39183BBE8}"/>
    <hyperlink ref="I22" r:id="rId37" xr:uid="{9FD73A70-5F9A-4012-A98F-2F92E3FA1829}"/>
    <hyperlink ref="I23" r:id="rId38" xr:uid="{C1263358-A742-4AE6-BDBF-A2C55A8253E0}"/>
    <hyperlink ref="I24" r:id="rId39" xr:uid="{910FE8CC-C799-4B66-8213-F747BC33BA77}"/>
    <hyperlink ref="I25" r:id="rId40" xr:uid="{2E0F8C9C-7667-4349-823C-B6B6A49F2123}"/>
    <hyperlink ref="I26" r:id="rId41" xr:uid="{B2102448-244C-4662-B052-54EFEFAE9B7C}"/>
    <hyperlink ref="I27" r:id="rId42" xr:uid="{10D97CDA-FE6D-45B9-B0F1-38D360ED7C68}"/>
    <hyperlink ref="I28" r:id="rId43" xr:uid="{A1FF32CF-3724-4FE6-8C11-7350B4183BC9}"/>
    <hyperlink ref="I29" r:id="rId44" xr:uid="{5BE81EE3-B855-4FB7-AFEB-EF4F933CF706}"/>
    <hyperlink ref="I31" r:id="rId45" xr:uid="{93EDBFF8-7106-49F8-92AE-32C5583BC207}"/>
    <hyperlink ref="I19" r:id="rId46" xr:uid="{69C62FD5-32F0-48B7-AED5-E7D2D1121B21}"/>
    <hyperlink ref="I60" r:id="rId47" xr:uid="{8BA393C8-AD30-49A8-ABBC-D481919681FB}"/>
    <hyperlink ref="I61" r:id="rId48" xr:uid="{975362B0-1B9E-460D-9F1E-EA7E349DAB9B}"/>
    <hyperlink ref="I30" r:id="rId49" xr:uid="{F825E3FC-5FFC-4BAD-92B2-E436F474B91D}"/>
    <hyperlink ref="I64" r:id="rId50" xr:uid="{E40D2601-7A71-481A-B8D1-CD25DE4CD59A}"/>
    <hyperlink ref="I62" r:id="rId51" xr:uid="{C28DBDBF-7EBF-4389-AA4F-DDFE9D86616A}"/>
    <hyperlink ref="I63" r:id="rId52" xr:uid="{98671E6B-4E5F-4705-B05C-9CD983E671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Webber</dc:creator>
  <cp:lastModifiedBy>Jared Webber</cp:lastModifiedBy>
  <dcterms:created xsi:type="dcterms:W3CDTF">2025-04-05T20:16:40Z</dcterms:created>
  <dcterms:modified xsi:type="dcterms:W3CDTF">2026-09-13T15:55:11Z</dcterms:modified>
</cp:coreProperties>
</file>