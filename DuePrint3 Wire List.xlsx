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red\Documents\GitHub\DuePrint3\"/>
    </mc:Choice>
  </mc:AlternateContent>
  <xr:revisionPtr revIDLastSave="0" documentId="13_ncr:1_{2110C38E-49FB-4C4B-9613-832E6FCF2BAA}" xr6:coauthVersionLast="47" xr6:coauthVersionMax="47" xr10:uidLastSave="{00000000-0000-0000-0000-000000000000}"/>
  <bookViews>
    <workbookView xWindow="25800" yWindow="0" windowWidth="25800" windowHeight="21000" xr2:uid="{3CF24DAB-A4E5-4B0F-806A-3EDA7AAF8571}"/>
  </bookViews>
  <sheets>
    <sheet name="Sheet1" sheetId="1" r:id="rId1"/>
    <sheet name="Sheet1 (2)" sheetId="2" r:id="rId2"/>
  </sheets>
  <definedNames>
    <definedName name="_xlnm._FilterDatabase" localSheetId="0" hidden="1">Sheet1!$A$1:$K$1</definedName>
    <definedName name="_xlnm._FilterDatabase" localSheetId="1" hidden="1">'Sheet1 (2)'!$A$1:$H$72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3" i="1" l="1"/>
  <c r="E54" i="1"/>
  <c r="E55" i="1"/>
  <c r="E52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</calcChain>
</file>

<file path=xl/sharedStrings.xml><?xml version="1.0" encoding="utf-8"?>
<sst xmlns="http://schemas.openxmlformats.org/spreadsheetml/2006/main" count="755" uniqueCount="284">
  <si>
    <t>From</t>
  </si>
  <si>
    <t>To</t>
  </si>
  <si>
    <t>Size (AWG) / Type</t>
  </si>
  <si>
    <t>INTF J1 1</t>
  </si>
  <si>
    <t>INTF J1 4</t>
  </si>
  <si>
    <t>INTF J1 6</t>
  </si>
  <si>
    <t>INTF J1 7</t>
  </si>
  <si>
    <t>INTF J1 11</t>
  </si>
  <si>
    <t>INTF J1 12</t>
  </si>
  <si>
    <t>INTF J1 13</t>
  </si>
  <si>
    <t>INTF J1 14</t>
  </si>
  <si>
    <t>INTF J1 15</t>
  </si>
  <si>
    <t>INTF J1 16</t>
  </si>
  <si>
    <t>INTF J1 17</t>
  </si>
  <si>
    <t>INTF J1 18</t>
  </si>
  <si>
    <t>INTF J1 19</t>
  </si>
  <si>
    <t>INTF J1 20</t>
  </si>
  <si>
    <t>INTF J1 21</t>
  </si>
  <si>
    <t>INTF J1 23</t>
  </si>
  <si>
    <t>INTF J1 24</t>
  </si>
  <si>
    <t>6HC IO_7 io7.in</t>
  </si>
  <si>
    <t>Function</t>
  </si>
  <si>
    <t>PRINT HEAD TEMP ALARM</t>
  </si>
  <si>
    <t>6HC IO_7 GND</t>
  </si>
  <si>
    <t>GND</t>
  </si>
  <si>
    <t>6HC OUT_8 out8</t>
  </si>
  <si>
    <t>EXTRUDER MODEL HEATER ENA</t>
  </si>
  <si>
    <t>6HC OUT_8 V_OUTLC8</t>
  </si>
  <si>
    <t>6HC IO_2 io2.in</t>
  </si>
  <si>
    <t>6HC IO_6 io6.in</t>
  </si>
  <si>
    <t>6HC IO_8 io8.in</t>
  </si>
  <si>
    <t>PRINT BED TOUCH PR LIM SW</t>
  </si>
  <si>
    <t>Z-AXIS EOT</t>
  </si>
  <si>
    <t>6HC TEMP_0 VSSA</t>
  </si>
  <si>
    <t>6HC TEMP_0 temp0</t>
  </si>
  <si>
    <t>6HC TEMP_2 VSSA</t>
  </si>
  <si>
    <t>6HC TEMP_2 temp2</t>
  </si>
  <si>
    <t>6HC TEMP_1 VSSA</t>
  </si>
  <si>
    <t>6HC TEMP_1 temp1</t>
  </si>
  <si>
    <t>CHAMBER THERM</t>
  </si>
  <si>
    <t>SUPPORT THERM</t>
  </si>
  <si>
    <t>MODEL THERM</t>
  </si>
  <si>
    <t>CHAMBER TEMP ALARM</t>
  </si>
  <si>
    <t>6HC OUT_9 V_OUTLC9</t>
  </si>
  <si>
    <t>6HC OUT_9 out9</t>
  </si>
  <si>
    <t>SUPPORT HEATER ENA</t>
  </si>
  <si>
    <t>6HC IO_2 io2.out</t>
  </si>
  <si>
    <t>6HC IO_6 io6.out</t>
  </si>
  <si>
    <t>LED LIGHTS ENA</t>
  </si>
  <si>
    <t>DOOR SOLENOID ENA</t>
  </si>
  <si>
    <t>INTF J9 1</t>
  </si>
  <si>
    <t>INTF J9 2</t>
  </si>
  <si>
    <t>INTF J9 3</t>
  </si>
  <si>
    <t>INTF J9 4</t>
  </si>
  <si>
    <t>INTF J9 5</t>
  </si>
  <si>
    <t>INTF J9 6</t>
  </si>
  <si>
    <t>INTF J9 7</t>
  </si>
  <si>
    <t>INTF J9 8</t>
  </si>
  <si>
    <t>INTF J9 9</t>
  </si>
  <si>
    <t>INTF J9 12</t>
  </si>
  <si>
    <t>INTF J9 13</t>
  </si>
  <si>
    <t>INTF J9 14</t>
  </si>
  <si>
    <t>INTF J9 15</t>
  </si>
  <si>
    <t>INTF J9 16</t>
  </si>
  <si>
    <t>INTF J9 18</t>
  </si>
  <si>
    <t>6HC IO_4 io4.in</t>
  </si>
  <si>
    <t>6HC IO_3 io3.in</t>
  </si>
  <si>
    <t>6HC IO_0 io0.in</t>
  </si>
  <si>
    <t>6HC IO_1 io1.in</t>
  </si>
  <si>
    <t>6HC IO_5 io5.in</t>
  </si>
  <si>
    <t>X-AXIS EOT</t>
  </si>
  <si>
    <t>Y-AXIS EOT</t>
  </si>
  <si>
    <t>X-AXIS HOME SW</t>
  </si>
  <si>
    <t>Y-AXIS HOME SW</t>
  </si>
  <si>
    <t>Z-AXIS HOME SW</t>
  </si>
  <si>
    <t>6HC OUT_7 out7</t>
  </si>
  <si>
    <t>6HC OUT_7 V_OUTLC7</t>
  </si>
  <si>
    <t>6HC OUT_6 out6</t>
  </si>
  <si>
    <t>6HC OUT_6 V_OUTLC6</t>
  </si>
  <si>
    <t>CHAMBER HEATER ENA</t>
  </si>
  <si>
    <t>PRINT BED TOUCH PR ENA</t>
  </si>
  <si>
    <t>GECKO RESET</t>
  </si>
  <si>
    <t>6HC OUT_5 out5</t>
  </si>
  <si>
    <t>6HC OUT_5 V_OUTLC5</t>
  </si>
  <si>
    <t>6HC OUT_4 out4</t>
  </si>
  <si>
    <t>6HC OUT_4 V_OUTLC4</t>
  </si>
  <si>
    <t>MOTOR ENA</t>
  </si>
  <si>
    <t>BLOWER ENA</t>
  </si>
  <si>
    <t>6HC IO_0 GND</t>
  </si>
  <si>
    <t>INTF J8 1</t>
  </si>
  <si>
    <t>INTF J8 2</t>
  </si>
  <si>
    <t>INTF J8 3</t>
  </si>
  <si>
    <t>INTF J8 4</t>
  </si>
  <si>
    <t>INTF J8 5</t>
  </si>
  <si>
    <t>INTF J8 6</t>
  </si>
  <si>
    <t>INTF J8 7</t>
  </si>
  <si>
    <t>STEP</t>
  </si>
  <si>
    <t>DIR</t>
  </si>
  <si>
    <t>INTF J7 1</t>
  </si>
  <si>
    <t>INTF J7 2</t>
  </si>
  <si>
    <t>INTF J10 1</t>
  </si>
  <si>
    <t>INTF J10 2</t>
  </si>
  <si>
    <t xml:space="preserve"> +5V</t>
  </si>
  <si>
    <t xml:space="preserve"> +12V</t>
  </si>
  <si>
    <t>INTF J4</t>
  </si>
  <si>
    <t>INTF J5</t>
  </si>
  <si>
    <t>INTF J13</t>
  </si>
  <si>
    <t>INTF J14</t>
  </si>
  <si>
    <t>INTF J15</t>
  </si>
  <si>
    <t>STRATASYS PDB J13/J14</t>
  </si>
  <si>
    <t>STRATASYS PDB J14/J18</t>
  </si>
  <si>
    <t>STRATASYS PDB J15/J17</t>
  </si>
  <si>
    <t>GND/COM</t>
  </si>
  <si>
    <t>ENCODER A</t>
  </si>
  <si>
    <t>ENCODER B</t>
  </si>
  <si>
    <t>MOTOR NEG</t>
  </si>
  <si>
    <t>MOTOR POS</t>
  </si>
  <si>
    <t>6HC CAN</t>
  </si>
  <si>
    <t>CAN-FD EXPANSION</t>
  </si>
  <si>
    <t>CAN-FD MB</t>
  </si>
  <si>
    <t>CONTROL</t>
  </si>
  <si>
    <t>N64 CN5 D9</t>
  </si>
  <si>
    <t>N64 CN5 D8</t>
  </si>
  <si>
    <t>N64 CN5 D6</t>
  </si>
  <si>
    <t>N64 CN5 D5</t>
  </si>
  <si>
    <t>N64 CN5 D2</t>
  </si>
  <si>
    <t>N64 CN5 D3</t>
  </si>
  <si>
    <t>N64 CN7 GND (8)</t>
  </si>
  <si>
    <t>N64 CN7 E5V (6)</t>
  </si>
  <si>
    <t>N64 CN6 GND</t>
  </si>
  <si>
    <t>FREE</t>
  </si>
  <si>
    <t>4C 24</t>
  </si>
  <si>
    <t>RIBBON</t>
  </si>
  <si>
    <t>From Termination</t>
  </si>
  <si>
    <t>To Termination</t>
  </si>
  <si>
    <t>GROUND</t>
  </si>
  <si>
    <t>CHASSIS</t>
  </si>
  <si>
    <t>LIVE</t>
  </si>
  <si>
    <t>NEUTRAL</t>
  </si>
  <si>
    <t>61900113722DEC</t>
  </si>
  <si>
    <t>DUPONT PIN</t>
  </si>
  <si>
    <t>DUPONT SOCKET</t>
  </si>
  <si>
    <t>RJ11</t>
  </si>
  <si>
    <t>CRIMP RING</t>
  </si>
  <si>
    <t>CRIMP FORK</t>
  </si>
  <si>
    <t>6HC POWER IN GND</t>
  </si>
  <si>
    <t>6HC POWER IN VIN</t>
  </si>
  <si>
    <t>BARE WIRE</t>
  </si>
  <si>
    <t>6HC POWER IN</t>
  </si>
  <si>
    <t>6HC GND</t>
  </si>
  <si>
    <t>AC LIVE</t>
  </si>
  <si>
    <t>AC NEUTRAL</t>
  </si>
  <si>
    <t>48V PS</t>
  </si>
  <si>
    <t>6HC DRIVER 0 B2</t>
  </si>
  <si>
    <t>6HC DRIVER 0 A2</t>
  </si>
  <si>
    <t>6HC DRIVER 0 B1</t>
  </si>
  <si>
    <t>6HC DRIVER 0 A1</t>
  </si>
  <si>
    <t>SVH-21T-P1.1</t>
  </si>
  <si>
    <t>PASSTHROUGH</t>
  </si>
  <si>
    <t>X-AXIS</t>
  </si>
  <si>
    <t>6HC DRIVER 1 A2</t>
  </si>
  <si>
    <t>6HC DRIVER 1 A1</t>
  </si>
  <si>
    <t>6HC DRIVER 1 B2</t>
  </si>
  <si>
    <t>6HC DRIVER 1 B1</t>
  </si>
  <si>
    <t>6HC DRIVER 2 A2</t>
  </si>
  <si>
    <t>6HC DRIVER 2 A1</t>
  </si>
  <si>
    <t>6HC DRIVER 2 B2</t>
  </si>
  <si>
    <t>6HC DRIVER 2 B1</t>
  </si>
  <si>
    <t>Y-AXIS</t>
  </si>
  <si>
    <t>Z-AXIS</t>
  </si>
  <si>
    <t>HEAD UMB J9 1</t>
  </si>
  <si>
    <t>HEAD UMB J9 2</t>
  </si>
  <si>
    <t>HEAD UMB J9 3</t>
  </si>
  <si>
    <t>HEAD UMB J9 6</t>
  </si>
  <si>
    <t>HEAD UMB J9 9</t>
  </si>
  <si>
    <t>HEAD UMB J9 10</t>
  </si>
  <si>
    <t>HEAD UMB J9 11</t>
  </si>
  <si>
    <t>HEAD UMB J9 12</t>
  </si>
  <si>
    <t>HEAD UMB J9 16</t>
  </si>
  <si>
    <t>HEAD UMB J9 19</t>
  </si>
  <si>
    <t>PDB J9 3</t>
  </si>
  <si>
    <t>PDB J9 6</t>
  </si>
  <si>
    <t>PDB J9 9</t>
  </si>
  <si>
    <t>PDB J9 10</t>
  </si>
  <si>
    <t>PDB J9 16</t>
  </si>
  <si>
    <t>PDB J9 19</t>
  </si>
  <si>
    <t>Y/Z J8 8</t>
  </si>
  <si>
    <t>Y/Z J8 4</t>
  </si>
  <si>
    <t>Y/Z J8 7</t>
  </si>
  <si>
    <t>Y/Z J8 6</t>
  </si>
  <si>
    <t>Y/Z J8 1</t>
  </si>
  <si>
    <t>Y/Z J8 5</t>
  </si>
  <si>
    <t>Y/Z J8 3</t>
  </si>
  <si>
    <t>Y/Z J8 2</t>
  </si>
  <si>
    <t>DUPONT PIN JUMPER</t>
  </si>
  <si>
    <t>DUPONT FEMALE JUMPER</t>
  </si>
  <si>
    <t>REUSE</t>
  </si>
  <si>
    <t>From Connector</t>
  </si>
  <si>
    <t>To Connector</t>
  </si>
  <si>
    <t>P9 (430251800)</t>
  </si>
  <si>
    <t>6HC IO_0 io0.out</t>
  </si>
  <si>
    <t>P4 (VHR-4N)</t>
  </si>
  <si>
    <t>P3 (39012205)</t>
  </si>
  <si>
    <t>P5 (VHR-4N)</t>
  </si>
  <si>
    <t>P6 (VHR-4N)</t>
  </si>
  <si>
    <t>P8 (430252400)</t>
  </si>
  <si>
    <t>P10 (436450800)</t>
  </si>
  <si>
    <t>P11 (436450200)</t>
  </si>
  <si>
    <t>P7 (54601-906002WPLF)</t>
  </si>
  <si>
    <t>P12 (61900511621)</t>
  </si>
  <si>
    <t>P13 (61900211621)</t>
  </si>
  <si>
    <t>P14 (61900511621)</t>
  </si>
  <si>
    <t>P15 (61900511621)</t>
  </si>
  <si>
    <t>P16 (61900211621)</t>
  </si>
  <si>
    <t>P17 (61900211621)</t>
  </si>
  <si>
    <t>P18 (61900211621)</t>
  </si>
  <si>
    <t>P19 (61900511621)</t>
  </si>
  <si>
    <t>P20 (61900211621)</t>
  </si>
  <si>
    <t>P21 (61900511621)</t>
  </si>
  <si>
    <t>P22 (61900511621)</t>
  </si>
  <si>
    <t>P23 (61900511621)</t>
  </si>
  <si>
    <t>P24 (61900511621)</t>
  </si>
  <si>
    <t>P25 (61900511621)</t>
  </si>
  <si>
    <t>P26 (61900211621)</t>
  </si>
  <si>
    <t>P27 (61900411621)</t>
  </si>
  <si>
    <t xml:space="preserve">P27 (61900411621) </t>
  </si>
  <si>
    <t>P28 (61900411621)</t>
  </si>
  <si>
    <t>P29 (61900411621)</t>
  </si>
  <si>
    <t>P8 (54601-906002WPLF)</t>
  </si>
  <si>
    <t>P1 (39012206)</t>
  </si>
  <si>
    <t>P2 (39012086)</t>
  </si>
  <si>
    <t>Module</t>
  </si>
  <si>
    <t>Header</t>
  </si>
  <si>
    <t>Pin</t>
  </si>
  <si>
    <t>INTF</t>
  </si>
  <si>
    <t>J16</t>
  </si>
  <si>
    <t>120V ON</t>
  </si>
  <si>
    <t>48V  RTN PWR</t>
  </si>
  <si>
    <t>MOTOR EN MB</t>
  </si>
  <si>
    <t>48V</t>
  </si>
  <si>
    <t>CHAMBER HEATER ENABLE</t>
  </si>
  <si>
    <t>PRINT HEAD BLOWER ENABLE</t>
  </si>
  <si>
    <t>POWER ON</t>
  </si>
  <si>
    <t>X-AXIS HOME</t>
  </si>
  <si>
    <t>Y-AXIS HOME</t>
  </si>
  <si>
    <t>Z-AXIS HOME</t>
  </si>
  <si>
    <t>POWER I/O</t>
  </si>
  <si>
    <t>5V</t>
  </si>
  <si>
    <t>EXTRUDER SUPPORT HEATER ENABLE</t>
  </si>
  <si>
    <t>EXTRUDER MODEL HEATER ENABLE</t>
  </si>
  <si>
    <t>DOOR SOLENOID ENABLE</t>
  </si>
  <si>
    <t>CHAMBER TEMP THERM</t>
  </si>
  <si>
    <t>CHAMBER TEMP THERM VSSA0</t>
  </si>
  <si>
    <t>PRINT HEAD SUPP THERM VSSA2</t>
  </si>
  <si>
    <t>PRINT HEAD SUPP THERM</t>
  </si>
  <si>
    <t>PRINT HEAD MODEL THERM</t>
  </si>
  <si>
    <t>PRINT HEAD MODEL THERM VSSA1</t>
  </si>
  <si>
    <t>io0.out</t>
  </si>
  <si>
    <t>out4</t>
  </si>
  <si>
    <t>io1.out</t>
  </si>
  <si>
    <t>io3.out</t>
  </si>
  <si>
    <t>io2.in</t>
  </si>
  <si>
    <t>io4.out</t>
  </si>
  <si>
    <t>io6.in</t>
  </si>
  <si>
    <t>io2.out</t>
  </si>
  <si>
    <t>io4.in</t>
  </si>
  <si>
    <t>io7.out</t>
  </si>
  <si>
    <t>io3.in</t>
  </si>
  <si>
    <t>io5.out</t>
  </si>
  <si>
    <t>io0.in</t>
  </si>
  <si>
    <t>io6.out</t>
  </si>
  <si>
    <t>io1.in</t>
  </si>
  <si>
    <t>temp0</t>
  </si>
  <si>
    <t>io5.in</t>
  </si>
  <si>
    <t>io8.in</t>
  </si>
  <si>
    <t>temp2</t>
  </si>
  <si>
    <t>io7.in</t>
  </si>
  <si>
    <t>temp1</t>
  </si>
  <si>
    <t>SPHD-002T-P0.5</t>
  </si>
  <si>
    <t>(PHDR-30VS)</t>
  </si>
  <si>
    <t>P(61900511621)</t>
  </si>
  <si>
    <t xml:space="preserve"> </t>
  </si>
  <si>
    <t>J3</t>
  </si>
  <si>
    <t>J8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</si>
</sst>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61D89-7440-4290-8736-92859B5FF9A2}">
  <dimension ref="A1:L55"/>
  <sheetViews>
    <sheetView tabSelected="1" workbookViewId="0">
      <selection activeCell="E60" sqref="E60"/>
    </sheetView>
  </sheetViews>
  <sheetFormatPr defaultRowHeight="15" x14ac:dyDescent="0.25"/>
  <cols>
    <col min="1" max="1" width="21.85546875" style="1" bestFit="1" customWidth="1"/>
    <col min="2" max="4" width="21.85546875" style="1" customWidth="1"/>
    <col min="5" max="5" width="15.28515625" style="1" bestFit="1" customWidth="1"/>
    <col min="6" max="6" width="19.28515625" style="1" customWidth="1"/>
    <col min="7" max="7" width="21.85546875" style="1" customWidth="1"/>
    <col min="8" max="8" width="21.42578125" style="1" customWidth="1"/>
    <col min="9" max="9" width="16.85546875" style="1" customWidth="1"/>
    <col min="10" max="10" width="28.140625" style="1" bestFit="1" customWidth="1"/>
    <col min="11" max="11" width="23.28515625" style="1" bestFit="1" customWidth="1"/>
    <col min="12" max="12" width="9.140625" style="1"/>
  </cols>
  <sheetData>
    <row r="1" spans="1:12" s="2" customFormat="1" x14ac:dyDescent="0.25">
      <c r="A1" s="3" t="s">
        <v>197</v>
      </c>
      <c r="B1" s="3" t="s">
        <v>231</v>
      </c>
      <c r="C1" s="3" t="s">
        <v>232</v>
      </c>
      <c r="D1" s="3" t="s">
        <v>233</v>
      </c>
      <c r="E1" s="3" t="s">
        <v>0</v>
      </c>
      <c r="F1" s="3" t="s">
        <v>133</v>
      </c>
      <c r="G1" s="3" t="s">
        <v>198</v>
      </c>
      <c r="H1" s="3" t="s">
        <v>1</v>
      </c>
      <c r="I1" s="3" t="s">
        <v>134</v>
      </c>
      <c r="J1" s="3" t="s">
        <v>21</v>
      </c>
      <c r="K1" s="3" t="s">
        <v>2</v>
      </c>
      <c r="L1" s="3"/>
    </row>
    <row r="2" spans="1:12" x14ac:dyDescent="0.25">
      <c r="A2" s="1" t="s">
        <v>279</v>
      </c>
      <c r="B2" s="1" t="s">
        <v>234</v>
      </c>
      <c r="C2" s="1" t="s">
        <v>235</v>
      </c>
      <c r="D2" s="1">
        <v>2</v>
      </c>
      <c r="E2" s="1" t="str">
        <f t="shared" ref="E2:E29" si="0">B2&amp;" "&amp;C2&amp;" "&amp;D2</f>
        <v>INTF J16 2</v>
      </c>
      <c r="F2" s="1" t="s">
        <v>278</v>
      </c>
      <c r="G2" s="1" t="s">
        <v>280</v>
      </c>
      <c r="H2" s="1" t="s">
        <v>257</v>
      </c>
      <c r="I2" s="1" t="s">
        <v>139</v>
      </c>
      <c r="J2" s="1" t="s">
        <v>236</v>
      </c>
      <c r="K2" s="1">
        <v>28</v>
      </c>
    </row>
    <row r="3" spans="1:12" x14ac:dyDescent="0.25">
      <c r="B3" s="1" t="s">
        <v>234</v>
      </c>
      <c r="C3" s="1" t="s">
        <v>235</v>
      </c>
      <c r="D3" s="1">
        <v>3</v>
      </c>
      <c r="E3" s="1" t="str">
        <f t="shared" si="0"/>
        <v>INTF J16 3</v>
      </c>
      <c r="F3" s="1" t="s">
        <v>278</v>
      </c>
      <c r="G3" s="1" t="s">
        <v>280</v>
      </c>
      <c r="H3" s="1" t="s">
        <v>258</v>
      </c>
      <c r="I3" s="1" t="s">
        <v>139</v>
      </c>
      <c r="J3" s="1" t="s">
        <v>237</v>
      </c>
      <c r="K3" s="1">
        <v>28</v>
      </c>
    </row>
    <row r="4" spans="1:12" x14ac:dyDescent="0.25">
      <c r="B4" s="1" t="s">
        <v>234</v>
      </c>
      <c r="C4" s="1" t="s">
        <v>235</v>
      </c>
      <c r="D4" s="1">
        <v>4</v>
      </c>
      <c r="E4" s="1" t="str">
        <f t="shared" si="0"/>
        <v>INTF J16 4</v>
      </c>
      <c r="F4" s="1" t="s">
        <v>278</v>
      </c>
      <c r="G4" s="1" t="s">
        <v>280</v>
      </c>
      <c r="H4" s="1" t="s">
        <v>259</v>
      </c>
      <c r="I4" s="1" t="s">
        <v>139</v>
      </c>
      <c r="J4" s="1" t="s">
        <v>242</v>
      </c>
      <c r="K4" s="1">
        <v>28</v>
      </c>
    </row>
    <row r="5" spans="1:12" x14ac:dyDescent="0.25">
      <c r="B5" s="1" t="s">
        <v>234</v>
      </c>
      <c r="C5" s="1" t="s">
        <v>235</v>
      </c>
      <c r="D5" s="1">
        <v>5</v>
      </c>
      <c r="E5" s="1" t="str">
        <f t="shared" si="0"/>
        <v>INTF J16 5</v>
      </c>
      <c r="F5" s="1" t="s">
        <v>278</v>
      </c>
      <c r="H5" s="1" t="s">
        <v>239</v>
      </c>
      <c r="I5" s="1" t="s">
        <v>139</v>
      </c>
      <c r="J5" s="1" t="s">
        <v>239</v>
      </c>
      <c r="K5" s="1">
        <v>28</v>
      </c>
    </row>
    <row r="6" spans="1:12" x14ac:dyDescent="0.25">
      <c r="B6" s="1" t="s">
        <v>234</v>
      </c>
      <c r="C6" s="1" t="s">
        <v>235</v>
      </c>
      <c r="D6" s="1">
        <v>6</v>
      </c>
      <c r="E6" s="1" t="str">
        <f t="shared" si="0"/>
        <v>INTF J16 6</v>
      </c>
      <c r="F6" s="1" t="s">
        <v>278</v>
      </c>
      <c r="G6" s="1" t="s">
        <v>280</v>
      </c>
      <c r="H6" s="1" t="s">
        <v>260</v>
      </c>
      <c r="I6" s="1" t="s">
        <v>139</v>
      </c>
      <c r="J6" s="1" t="s">
        <v>238</v>
      </c>
      <c r="K6" s="1">
        <v>28</v>
      </c>
    </row>
    <row r="7" spans="1:12" x14ac:dyDescent="0.25">
      <c r="B7" s="1" t="s">
        <v>234</v>
      </c>
      <c r="C7" s="1" t="s">
        <v>235</v>
      </c>
      <c r="D7" s="1">
        <v>7</v>
      </c>
      <c r="E7" s="1" t="str">
        <f t="shared" si="0"/>
        <v>INTF J16 7</v>
      </c>
      <c r="F7" s="1" t="s">
        <v>278</v>
      </c>
      <c r="G7" s="1" t="s">
        <v>280</v>
      </c>
      <c r="H7" s="1" t="s">
        <v>261</v>
      </c>
      <c r="I7" s="1" t="s">
        <v>139</v>
      </c>
      <c r="J7" s="1" t="s">
        <v>31</v>
      </c>
      <c r="K7" s="1">
        <v>28</v>
      </c>
    </row>
    <row r="8" spans="1:12" x14ac:dyDescent="0.25">
      <c r="B8" s="1" t="s">
        <v>234</v>
      </c>
      <c r="C8" s="1" t="s">
        <v>235</v>
      </c>
      <c r="D8" s="1">
        <v>8</v>
      </c>
      <c r="E8" s="1" t="str">
        <f t="shared" si="0"/>
        <v>INTF J16 8</v>
      </c>
      <c r="F8" s="1" t="s">
        <v>278</v>
      </c>
      <c r="G8" s="1" t="s">
        <v>280</v>
      </c>
      <c r="H8" s="1" t="s">
        <v>262</v>
      </c>
      <c r="I8" s="1" t="s">
        <v>139</v>
      </c>
      <c r="J8" s="1" t="s">
        <v>240</v>
      </c>
      <c r="K8" s="1">
        <v>28</v>
      </c>
    </row>
    <row r="9" spans="1:12" x14ac:dyDescent="0.25">
      <c r="B9" s="1" t="s">
        <v>234</v>
      </c>
      <c r="C9" s="1" t="s">
        <v>235</v>
      </c>
      <c r="D9" s="1">
        <v>9</v>
      </c>
      <c r="E9" s="1" t="str">
        <f t="shared" si="0"/>
        <v>INTF J16 9</v>
      </c>
      <c r="F9" s="1" t="s">
        <v>278</v>
      </c>
      <c r="G9" s="1" t="s">
        <v>280</v>
      </c>
      <c r="H9" s="1" t="s">
        <v>263</v>
      </c>
      <c r="I9" s="1" t="s">
        <v>139</v>
      </c>
      <c r="J9" s="1" t="s">
        <v>32</v>
      </c>
      <c r="K9" s="1">
        <v>28</v>
      </c>
    </row>
    <row r="10" spans="1:12" x14ac:dyDescent="0.25">
      <c r="B10" s="1" t="s">
        <v>234</v>
      </c>
      <c r="C10" s="1" t="s">
        <v>235</v>
      </c>
      <c r="D10" s="1">
        <v>10</v>
      </c>
      <c r="E10" s="1" t="str">
        <f t="shared" si="0"/>
        <v>INTF J16 10</v>
      </c>
      <c r="F10" s="1" t="s">
        <v>278</v>
      </c>
      <c r="G10" s="1" t="s">
        <v>280</v>
      </c>
      <c r="H10" s="1" t="s">
        <v>264</v>
      </c>
      <c r="I10" s="1" t="s">
        <v>139</v>
      </c>
      <c r="J10" s="1" t="s">
        <v>241</v>
      </c>
      <c r="K10" s="1">
        <v>28</v>
      </c>
    </row>
    <row r="11" spans="1:12" x14ac:dyDescent="0.25">
      <c r="B11" s="1" t="s">
        <v>234</v>
      </c>
      <c r="C11" s="1" t="s">
        <v>235</v>
      </c>
      <c r="D11" s="1">
        <v>11</v>
      </c>
      <c r="E11" s="1" t="str">
        <f t="shared" si="0"/>
        <v>INTF J16 11</v>
      </c>
      <c r="F11" s="1" t="s">
        <v>278</v>
      </c>
      <c r="G11" s="1" t="s">
        <v>280</v>
      </c>
      <c r="H11" s="1" t="s">
        <v>265</v>
      </c>
      <c r="I11" s="1" t="s">
        <v>139</v>
      </c>
      <c r="J11" s="1" t="s">
        <v>71</v>
      </c>
      <c r="K11" s="1">
        <v>28</v>
      </c>
    </row>
    <row r="12" spans="1:12" x14ac:dyDescent="0.25">
      <c r="B12" s="1" t="s">
        <v>234</v>
      </c>
      <c r="C12" s="1" t="s">
        <v>235</v>
      </c>
      <c r="D12" s="1">
        <v>12</v>
      </c>
      <c r="E12" s="1" t="str">
        <f t="shared" si="0"/>
        <v>INTF J16 12</v>
      </c>
      <c r="F12" s="1" t="s">
        <v>278</v>
      </c>
      <c r="G12" s="1" t="s">
        <v>280</v>
      </c>
      <c r="H12" s="1" t="s">
        <v>266</v>
      </c>
      <c r="I12" s="1" t="s">
        <v>139</v>
      </c>
      <c r="J12" s="1" t="s">
        <v>248</v>
      </c>
      <c r="K12" s="1">
        <v>28</v>
      </c>
    </row>
    <row r="13" spans="1:12" x14ac:dyDescent="0.25">
      <c r="B13" s="1" t="s">
        <v>234</v>
      </c>
      <c r="C13" s="1" t="s">
        <v>235</v>
      </c>
      <c r="D13" s="1">
        <v>13</v>
      </c>
      <c r="E13" s="1" t="str">
        <f t="shared" si="0"/>
        <v>INTF J16 13</v>
      </c>
      <c r="F13" s="1" t="s">
        <v>278</v>
      </c>
      <c r="G13" s="1" t="s">
        <v>280</v>
      </c>
      <c r="H13" s="1" t="s">
        <v>267</v>
      </c>
      <c r="I13" s="1" t="s">
        <v>139</v>
      </c>
      <c r="J13" s="1" t="s">
        <v>70</v>
      </c>
      <c r="K13" s="1">
        <v>28</v>
      </c>
    </row>
    <row r="14" spans="1:12" x14ac:dyDescent="0.25">
      <c r="B14" s="1" t="s">
        <v>234</v>
      </c>
      <c r="C14" s="1" t="s">
        <v>235</v>
      </c>
      <c r="D14" s="1">
        <v>14</v>
      </c>
      <c r="E14" s="1" t="str">
        <f t="shared" si="0"/>
        <v>INTF J16 14</v>
      </c>
      <c r="F14" s="1" t="s">
        <v>278</v>
      </c>
      <c r="G14" s="1" t="s">
        <v>280</v>
      </c>
      <c r="H14" s="1" t="s">
        <v>268</v>
      </c>
      <c r="I14" s="1" t="s">
        <v>139</v>
      </c>
      <c r="J14" s="1" t="s">
        <v>249</v>
      </c>
      <c r="K14" s="1">
        <v>28</v>
      </c>
    </row>
    <row r="15" spans="1:12" x14ac:dyDescent="0.25">
      <c r="B15" s="1" t="s">
        <v>234</v>
      </c>
      <c r="C15" s="1" t="s">
        <v>235</v>
      </c>
      <c r="D15" s="1">
        <v>15</v>
      </c>
      <c r="E15" s="1" t="str">
        <f t="shared" si="0"/>
        <v>INTF J16 15</v>
      </c>
      <c r="F15" s="1" t="s">
        <v>278</v>
      </c>
      <c r="G15" s="1" t="s">
        <v>280</v>
      </c>
      <c r="H15" s="1" t="s">
        <v>269</v>
      </c>
      <c r="I15" s="1" t="s">
        <v>139</v>
      </c>
      <c r="J15" s="1" t="s">
        <v>243</v>
      </c>
      <c r="K15" s="1">
        <v>28</v>
      </c>
    </row>
    <row r="16" spans="1:12" x14ac:dyDescent="0.25">
      <c r="B16" s="1" t="s">
        <v>234</v>
      </c>
      <c r="C16" s="1" t="s">
        <v>235</v>
      </c>
      <c r="D16" s="1">
        <v>16</v>
      </c>
      <c r="E16" s="1" t="str">
        <f t="shared" si="0"/>
        <v>INTF J16 16</v>
      </c>
      <c r="F16" s="1" t="s">
        <v>278</v>
      </c>
      <c r="G16" s="1" t="s">
        <v>280</v>
      </c>
      <c r="H16" s="1" t="s">
        <v>270</v>
      </c>
      <c r="I16" s="1" t="s">
        <v>139</v>
      </c>
      <c r="J16" s="1" t="s">
        <v>250</v>
      </c>
      <c r="K16" s="1">
        <v>28</v>
      </c>
    </row>
    <row r="17" spans="2:11" x14ac:dyDescent="0.25">
      <c r="B17" s="1" t="s">
        <v>234</v>
      </c>
      <c r="C17" s="1" t="s">
        <v>235</v>
      </c>
      <c r="D17" s="1">
        <v>17</v>
      </c>
      <c r="E17" s="1" t="str">
        <f t="shared" si="0"/>
        <v>INTF J16 17</v>
      </c>
      <c r="F17" s="1" t="s">
        <v>278</v>
      </c>
      <c r="G17" s="1" t="s">
        <v>280</v>
      </c>
      <c r="H17" s="1" t="s">
        <v>271</v>
      </c>
      <c r="I17" s="1" t="s">
        <v>139</v>
      </c>
      <c r="J17" s="1" t="s">
        <v>244</v>
      </c>
      <c r="K17" s="1">
        <v>28</v>
      </c>
    </row>
    <row r="18" spans="2:11" x14ac:dyDescent="0.25">
      <c r="B18" s="1" t="s">
        <v>234</v>
      </c>
      <c r="C18" s="1" t="s">
        <v>235</v>
      </c>
      <c r="D18" s="1">
        <v>18</v>
      </c>
      <c r="E18" s="1" t="str">
        <f t="shared" si="0"/>
        <v>INTF J16 18</v>
      </c>
      <c r="F18" s="1" t="s">
        <v>278</v>
      </c>
      <c r="G18" s="1" t="s">
        <v>280</v>
      </c>
      <c r="H18" s="1" t="s">
        <v>272</v>
      </c>
      <c r="I18" s="1" t="s">
        <v>139</v>
      </c>
      <c r="J18" s="1" t="s">
        <v>251</v>
      </c>
      <c r="K18" s="1">
        <v>28</v>
      </c>
    </row>
    <row r="19" spans="2:11" x14ac:dyDescent="0.25">
      <c r="B19" s="1" t="s">
        <v>234</v>
      </c>
      <c r="C19" s="1" t="s">
        <v>235</v>
      </c>
      <c r="D19" s="1">
        <v>19</v>
      </c>
      <c r="E19" s="1" t="str">
        <f t="shared" si="0"/>
        <v>INTF J16 19</v>
      </c>
      <c r="F19" s="1" t="s">
        <v>278</v>
      </c>
      <c r="G19" s="1" t="s">
        <v>280</v>
      </c>
      <c r="H19" s="1" t="s">
        <v>273</v>
      </c>
      <c r="I19" s="1" t="s">
        <v>139</v>
      </c>
      <c r="J19" s="1" t="s">
        <v>245</v>
      </c>
      <c r="K19" s="1">
        <v>28</v>
      </c>
    </row>
    <row r="20" spans="2:11" x14ac:dyDescent="0.25">
      <c r="B20" s="1" t="s">
        <v>234</v>
      </c>
      <c r="C20" s="1" t="s">
        <v>235</v>
      </c>
      <c r="D20" s="1">
        <v>20</v>
      </c>
      <c r="E20" s="1" t="str">
        <f t="shared" si="0"/>
        <v>INTF J16 20</v>
      </c>
      <c r="F20" s="1" t="s">
        <v>278</v>
      </c>
      <c r="G20" s="1" t="s">
        <v>280</v>
      </c>
      <c r="H20" s="1" t="s">
        <v>272</v>
      </c>
      <c r="I20" s="1" t="s">
        <v>139</v>
      </c>
      <c r="J20" s="1" t="s">
        <v>252</v>
      </c>
      <c r="K20" s="1">
        <v>28</v>
      </c>
    </row>
    <row r="21" spans="2:11" x14ac:dyDescent="0.25">
      <c r="B21" s="1" t="s">
        <v>234</v>
      </c>
      <c r="C21" s="1" t="s">
        <v>235</v>
      </c>
      <c r="D21" s="1">
        <v>21</v>
      </c>
      <c r="E21" s="1" t="str">
        <f t="shared" si="0"/>
        <v>INTF J16 21</v>
      </c>
      <c r="F21" s="1" t="s">
        <v>278</v>
      </c>
      <c r="G21" s="1" t="s">
        <v>280</v>
      </c>
      <c r="H21" s="1" t="s">
        <v>274</v>
      </c>
      <c r="I21" s="1" t="s">
        <v>139</v>
      </c>
      <c r="J21" s="1" t="s">
        <v>246</v>
      </c>
      <c r="K21" s="1">
        <v>28</v>
      </c>
    </row>
    <row r="22" spans="2:11" x14ac:dyDescent="0.25">
      <c r="B22" s="1" t="s">
        <v>234</v>
      </c>
      <c r="C22" s="1" t="s">
        <v>235</v>
      </c>
      <c r="D22" s="1">
        <v>22</v>
      </c>
      <c r="E22" s="1" t="str">
        <f t="shared" si="0"/>
        <v>INTF J16 22</v>
      </c>
      <c r="F22" s="1" t="s">
        <v>278</v>
      </c>
      <c r="G22" s="1" t="s">
        <v>280</v>
      </c>
      <c r="H22" s="1" t="s">
        <v>275</v>
      </c>
      <c r="I22" s="1" t="s">
        <v>139</v>
      </c>
      <c r="J22" s="1" t="s">
        <v>254</v>
      </c>
      <c r="K22" s="1">
        <v>28</v>
      </c>
    </row>
    <row r="23" spans="2:11" x14ac:dyDescent="0.25">
      <c r="B23" s="1" t="s">
        <v>234</v>
      </c>
      <c r="C23" s="1" t="s">
        <v>235</v>
      </c>
      <c r="D23" s="1">
        <v>23</v>
      </c>
      <c r="E23" s="1" t="str">
        <f t="shared" si="0"/>
        <v>INTF J16 23</v>
      </c>
      <c r="F23" s="1" t="s">
        <v>278</v>
      </c>
      <c r="G23" s="1" t="s">
        <v>280</v>
      </c>
      <c r="H23" s="1" t="s">
        <v>276</v>
      </c>
      <c r="I23" s="1" t="s">
        <v>139</v>
      </c>
      <c r="J23" s="1" t="s">
        <v>22</v>
      </c>
      <c r="K23" s="1">
        <v>28</v>
      </c>
    </row>
    <row r="24" spans="2:11" x14ac:dyDescent="0.25">
      <c r="B24" s="1" t="s">
        <v>234</v>
      </c>
      <c r="C24" s="1" t="s">
        <v>235</v>
      </c>
      <c r="D24" s="1">
        <v>24</v>
      </c>
      <c r="E24" s="1" t="str">
        <f t="shared" si="0"/>
        <v>INTF J16 24</v>
      </c>
      <c r="F24" s="1" t="s">
        <v>278</v>
      </c>
      <c r="G24" s="1" t="s">
        <v>280</v>
      </c>
      <c r="H24" s="1" t="s">
        <v>275</v>
      </c>
      <c r="I24" s="1" t="s">
        <v>139</v>
      </c>
      <c r="J24" s="1" t="s">
        <v>253</v>
      </c>
      <c r="K24" s="1">
        <v>28</v>
      </c>
    </row>
    <row r="25" spans="2:11" x14ac:dyDescent="0.25">
      <c r="B25" s="1" t="s">
        <v>234</v>
      </c>
      <c r="C25" s="1" t="s">
        <v>235</v>
      </c>
      <c r="D25" s="1">
        <v>26</v>
      </c>
      <c r="E25" s="1" t="str">
        <f t="shared" si="0"/>
        <v>INTF J16 26</v>
      </c>
      <c r="F25" s="1" t="s">
        <v>278</v>
      </c>
      <c r="G25" s="1" t="s">
        <v>280</v>
      </c>
      <c r="H25" s="1" t="s">
        <v>277</v>
      </c>
      <c r="I25" s="1" t="s">
        <v>139</v>
      </c>
      <c r="J25" s="1" t="s">
        <v>255</v>
      </c>
      <c r="K25" s="1">
        <v>28</v>
      </c>
    </row>
    <row r="26" spans="2:11" x14ac:dyDescent="0.25">
      <c r="B26" s="1" t="s">
        <v>234</v>
      </c>
      <c r="C26" s="1" t="s">
        <v>235</v>
      </c>
      <c r="D26" s="1">
        <v>27</v>
      </c>
      <c r="E26" s="1" t="str">
        <f t="shared" si="0"/>
        <v>INTF J16 27</v>
      </c>
      <c r="F26" s="1" t="s">
        <v>278</v>
      </c>
      <c r="G26" s="1" t="s">
        <v>280</v>
      </c>
      <c r="H26" s="1" t="s">
        <v>247</v>
      </c>
      <c r="I26" s="1" t="s">
        <v>139</v>
      </c>
      <c r="J26" s="1" t="s">
        <v>247</v>
      </c>
      <c r="K26" s="1">
        <v>28</v>
      </c>
    </row>
    <row r="27" spans="2:11" x14ac:dyDescent="0.25">
      <c r="B27" s="1" t="s">
        <v>234</v>
      </c>
      <c r="C27" s="1" t="s">
        <v>235</v>
      </c>
      <c r="D27" s="1">
        <v>28</v>
      </c>
      <c r="E27" s="1" t="str">
        <f t="shared" si="0"/>
        <v>INTF J16 28</v>
      </c>
      <c r="F27" s="1" t="s">
        <v>278</v>
      </c>
      <c r="G27" s="1" t="s">
        <v>280</v>
      </c>
      <c r="H27" s="1" t="s">
        <v>277</v>
      </c>
      <c r="I27" s="1" t="s">
        <v>139</v>
      </c>
      <c r="J27" s="1" t="s">
        <v>256</v>
      </c>
      <c r="K27" s="1">
        <v>28</v>
      </c>
    </row>
    <row r="28" spans="2:11" x14ac:dyDescent="0.25">
      <c r="B28" s="1" t="s">
        <v>234</v>
      </c>
      <c r="C28" s="1" t="s">
        <v>235</v>
      </c>
      <c r="D28" s="1">
        <v>29</v>
      </c>
      <c r="E28" s="1" t="str">
        <f t="shared" si="0"/>
        <v>INTF J16 29</v>
      </c>
      <c r="F28" s="1" t="s">
        <v>278</v>
      </c>
      <c r="G28" s="1" t="s">
        <v>280</v>
      </c>
      <c r="H28" s="1" t="s">
        <v>24</v>
      </c>
      <c r="I28" s="1" t="s">
        <v>139</v>
      </c>
      <c r="J28" s="1" t="s">
        <v>24</v>
      </c>
      <c r="K28" s="1">
        <v>28</v>
      </c>
    </row>
    <row r="29" spans="2:11" x14ac:dyDescent="0.25">
      <c r="B29" s="1" t="s">
        <v>234</v>
      </c>
      <c r="C29" s="1" t="s">
        <v>235</v>
      </c>
      <c r="D29" s="1">
        <v>30</v>
      </c>
      <c r="E29" s="1" t="str">
        <f t="shared" si="0"/>
        <v>INTF J16 30</v>
      </c>
      <c r="F29" s="1" t="s">
        <v>278</v>
      </c>
      <c r="G29" s="1" t="s">
        <v>280</v>
      </c>
      <c r="H29" s="1" t="s">
        <v>24</v>
      </c>
      <c r="I29" s="1" t="s">
        <v>139</v>
      </c>
      <c r="J29" s="1" t="s">
        <v>24</v>
      </c>
      <c r="K29" s="1">
        <v>28</v>
      </c>
    </row>
    <row r="30" spans="2:11" x14ac:dyDescent="0.25">
      <c r="E30" s="1" t="s">
        <v>106</v>
      </c>
      <c r="H30" s="1" t="s">
        <v>109</v>
      </c>
      <c r="K30" s="1" t="s">
        <v>132</v>
      </c>
    </row>
    <row r="31" spans="2:11" x14ac:dyDescent="0.25">
      <c r="E31" s="1" t="s">
        <v>107</v>
      </c>
      <c r="H31" s="1" t="s">
        <v>110</v>
      </c>
      <c r="K31" s="1" t="s">
        <v>132</v>
      </c>
    </row>
    <row r="32" spans="2:11" x14ac:dyDescent="0.25">
      <c r="E32" s="1" t="s">
        <v>108</v>
      </c>
      <c r="H32" s="1" t="s">
        <v>111</v>
      </c>
      <c r="K32" s="1" t="s">
        <v>132</v>
      </c>
    </row>
    <row r="33" spans="1:11" x14ac:dyDescent="0.25">
      <c r="E33" s="1" t="s">
        <v>105</v>
      </c>
      <c r="F33" s="1" t="s">
        <v>142</v>
      </c>
      <c r="I33" s="1" t="s">
        <v>142</v>
      </c>
      <c r="J33" s="1" t="s">
        <v>118</v>
      </c>
      <c r="K33" s="1" t="s">
        <v>131</v>
      </c>
    </row>
    <row r="34" spans="1:11" x14ac:dyDescent="0.25">
      <c r="A34" s="1" t="s">
        <v>201</v>
      </c>
      <c r="E34" s="1" t="s">
        <v>153</v>
      </c>
      <c r="F34" s="1" t="s">
        <v>157</v>
      </c>
      <c r="G34" s="1" t="s">
        <v>229</v>
      </c>
      <c r="H34" s="1" t="s">
        <v>170</v>
      </c>
      <c r="I34" s="1">
        <v>39000048</v>
      </c>
      <c r="J34" s="1" t="s">
        <v>159</v>
      </c>
      <c r="K34" s="1">
        <v>22</v>
      </c>
    </row>
    <row r="35" spans="1:11" x14ac:dyDescent="0.25">
      <c r="A35" s="1" t="s">
        <v>201</v>
      </c>
      <c r="E35" s="1" t="s">
        <v>154</v>
      </c>
      <c r="F35" s="1" t="s">
        <v>157</v>
      </c>
      <c r="G35" s="1" t="s">
        <v>229</v>
      </c>
      <c r="H35" s="1" t="s">
        <v>171</v>
      </c>
      <c r="I35" s="1">
        <v>39000048</v>
      </c>
      <c r="J35" s="1" t="s">
        <v>159</v>
      </c>
      <c r="K35" s="1">
        <v>22</v>
      </c>
    </row>
    <row r="36" spans="1:11" x14ac:dyDescent="0.25">
      <c r="A36" s="1" t="s">
        <v>202</v>
      </c>
      <c r="E36" s="1" t="s">
        <v>180</v>
      </c>
      <c r="F36" s="1">
        <v>39000046</v>
      </c>
      <c r="G36" s="1" t="s">
        <v>229</v>
      </c>
      <c r="H36" s="1" t="s">
        <v>172</v>
      </c>
      <c r="I36" s="1">
        <v>39000048</v>
      </c>
      <c r="J36" s="1" t="s">
        <v>158</v>
      </c>
      <c r="K36" s="1">
        <v>22</v>
      </c>
    </row>
    <row r="37" spans="1:11" x14ac:dyDescent="0.25">
      <c r="A37" s="1" t="s">
        <v>202</v>
      </c>
      <c r="E37" s="1" t="s">
        <v>181</v>
      </c>
      <c r="F37" s="1">
        <v>39000046</v>
      </c>
      <c r="G37" s="1" t="s">
        <v>229</v>
      </c>
      <c r="H37" s="1" t="s">
        <v>173</v>
      </c>
      <c r="I37" s="1">
        <v>39000048</v>
      </c>
      <c r="J37" s="1" t="s">
        <v>158</v>
      </c>
      <c r="K37" s="1">
        <v>22</v>
      </c>
    </row>
    <row r="38" spans="1:11" x14ac:dyDescent="0.25">
      <c r="A38" s="1" t="s">
        <v>202</v>
      </c>
      <c r="E38" s="1" t="s">
        <v>182</v>
      </c>
      <c r="F38" s="1">
        <v>39000046</v>
      </c>
      <c r="G38" s="1" t="s">
        <v>229</v>
      </c>
      <c r="H38" s="1" t="s">
        <v>174</v>
      </c>
      <c r="I38" s="1">
        <v>39000048</v>
      </c>
      <c r="J38" s="1" t="s">
        <v>158</v>
      </c>
      <c r="K38" s="1">
        <v>22</v>
      </c>
    </row>
    <row r="39" spans="1:11" x14ac:dyDescent="0.25">
      <c r="A39" s="1" t="s">
        <v>202</v>
      </c>
      <c r="E39" s="1" t="s">
        <v>183</v>
      </c>
      <c r="F39" s="1">
        <v>39000046</v>
      </c>
      <c r="G39" s="1" t="s">
        <v>229</v>
      </c>
      <c r="H39" s="1" t="s">
        <v>175</v>
      </c>
      <c r="I39" s="1">
        <v>39000048</v>
      </c>
      <c r="J39" s="1" t="s">
        <v>158</v>
      </c>
      <c r="K39" s="1">
        <v>22</v>
      </c>
    </row>
    <row r="40" spans="1:11" x14ac:dyDescent="0.25">
      <c r="A40" s="1" t="s">
        <v>201</v>
      </c>
      <c r="E40" s="1" t="s">
        <v>155</v>
      </c>
      <c r="F40" s="1" t="s">
        <v>157</v>
      </c>
      <c r="G40" s="1" t="s">
        <v>229</v>
      </c>
      <c r="H40" s="1" t="s">
        <v>176</v>
      </c>
      <c r="I40" s="1">
        <v>39000048</v>
      </c>
      <c r="J40" s="1" t="s">
        <v>159</v>
      </c>
      <c r="K40" s="1">
        <v>22</v>
      </c>
    </row>
    <row r="41" spans="1:11" x14ac:dyDescent="0.25">
      <c r="A41" s="1" t="s">
        <v>201</v>
      </c>
      <c r="E41" s="1" t="s">
        <v>156</v>
      </c>
      <c r="F41" s="1" t="s">
        <v>157</v>
      </c>
      <c r="G41" s="1" t="s">
        <v>229</v>
      </c>
      <c r="H41" s="1" t="s">
        <v>177</v>
      </c>
      <c r="I41" s="1">
        <v>39000048</v>
      </c>
      <c r="J41" s="1" t="s">
        <v>159</v>
      </c>
      <c r="K41" s="1">
        <v>22</v>
      </c>
    </row>
    <row r="42" spans="1:11" x14ac:dyDescent="0.25">
      <c r="A42" s="1" t="s">
        <v>202</v>
      </c>
      <c r="E42" s="1" t="s">
        <v>184</v>
      </c>
      <c r="F42" s="1">
        <v>39000046</v>
      </c>
      <c r="G42" s="1" t="s">
        <v>229</v>
      </c>
      <c r="H42" s="1" t="s">
        <v>178</v>
      </c>
      <c r="I42" s="1">
        <v>39000048</v>
      </c>
      <c r="J42" s="1" t="s">
        <v>158</v>
      </c>
      <c r="K42" s="1">
        <v>22</v>
      </c>
    </row>
    <row r="43" spans="1:11" x14ac:dyDescent="0.25">
      <c r="A43" s="1" t="s">
        <v>202</v>
      </c>
      <c r="E43" s="1" t="s">
        <v>185</v>
      </c>
      <c r="F43" s="1">
        <v>39000046</v>
      </c>
      <c r="G43" s="1" t="s">
        <v>229</v>
      </c>
      <c r="H43" s="1" t="s">
        <v>179</v>
      </c>
      <c r="I43" s="1">
        <v>39000048</v>
      </c>
      <c r="J43" s="1" t="s">
        <v>158</v>
      </c>
      <c r="K43" s="1">
        <v>22</v>
      </c>
    </row>
    <row r="44" spans="1:11" x14ac:dyDescent="0.25">
      <c r="A44" s="1" t="s">
        <v>203</v>
      </c>
      <c r="E44" s="1" t="s">
        <v>160</v>
      </c>
      <c r="F44" s="1" t="s">
        <v>157</v>
      </c>
      <c r="G44" s="1" t="s">
        <v>230</v>
      </c>
      <c r="H44" s="1" t="s">
        <v>186</v>
      </c>
      <c r="I44" s="1">
        <v>39000048</v>
      </c>
      <c r="J44" s="1" t="s">
        <v>168</v>
      </c>
      <c r="K44" s="1">
        <v>22</v>
      </c>
    </row>
    <row r="45" spans="1:11" x14ac:dyDescent="0.25">
      <c r="A45" s="1" t="s">
        <v>203</v>
      </c>
      <c r="E45" s="1" t="s">
        <v>161</v>
      </c>
      <c r="F45" s="1" t="s">
        <v>157</v>
      </c>
      <c r="G45" s="1" t="s">
        <v>230</v>
      </c>
      <c r="H45" s="1" t="s">
        <v>187</v>
      </c>
      <c r="I45" s="1">
        <v>39000048</v>
      </c>
      <c r="J45" s="1" t="s">
        <v>168</v>
      </c>
      <c r="K45" s="1">
        <v>22</v>
      </c>
    </row>
    <row r="46" spans="1:11" x14ac:dyDescent="0.25">
      <c r="A46" s="1" t="s">
        <v>203</v>
      </c>
      <c r="E46" s="1" t="s">
        <v>162</v>
      </c>
      <c r="F46" s="1" t="s">
        <v>157</v>
      </c>
      <c r="G46" s="1" t="s">
        <v>230</v>
      </c>
      <c r="H46" s="1" t="s">
        <v>188</v>
      </c>
      <c r="I46" s="1">
        <v>39000048</v>
      </c>
      <c r="J46" s="1" t="s">
        <v>168</v>
      </c>
      <c r="K46" s="1">
        <v>22</v>
      </c>
    </row>
    <row r="47" spans="1:11" x14ac:dyDescent="0.25">
      <c r="A47" s="1" t="s">
        <v>203</v>
      </c>
      <c r="E47" s="1" t="s">
        <v>163</v>
      </c>
      <c r="F47" s="1" t="s">
        <v>157</v>
      </c>
      <c r="G47" s="1" t="s">
        <v>230</v>
      </c>
      <c r="H47" s="1" t="s">
        <v>189</v>
      </c>
      <c r="I47" s="1">
        <v>39000048</v>
      </c>
      <c r="J47" s="1" t="s">
        <v>168</v>
      </c>
      <c r="K47" s="1">
        <v>22</v>
      </c>
    </row>
    <row r="48" spans="1:11" x14ac:dyDescent="0.25">
      <c r="A48" s="1" t="s">
        <v>204</v>
      </c>
      <c r="E48" s="1" t="s">
        <v>164</v>
      </c>
      <c r="F48" s="1" t="s">
        <v>157</v>
      </c>
      <c r="G48" s="1" t="s">
        <v>230</v>
      </c>
      <c r="H48" s="1" t="s">
        <v>190</v>
      </c>
      <c r="I48" s="1">
        <v>39000048</v>
      </c>
      <c r="J48" s="1" t="s">
        <v>169</v>
      </c>
      <c r="K48" s="1">
        <v>22</v>
      </c>
    </row>
    <row r="49" spans="1:11" x14ac:dyDescent="0.25">
      <c r="A49" s="1" t="s">
        <v>204</v>
      </c>
      <c r="E49" s="1" t="s">
        <v>165</v>
      </c>
      <c r="F49" s="1" t="s">
        <v>157</v>
      </c>
      <c r="G49" s="1" t="s">
        <v>230</v>
      </c>
      <c r="H49" s="1" t="s">
        <v>191</v>
      </c>
      <c r="I49" s="1">
        <v>39000048</v>
      </c>
      <c r="J49" s="1" t="s">
        <v>169</v>
      </c>
      <c r="K49" s="1">
        <v>22</v>
      </c>
    </row>
    <row r="50" spans="1:11" x14ac:dyDescent="0.25">
      <c r="A50" s="1" t="s">
        <v>204</v>
      </c>
      <c r="E50" s="1" t="s">
        <v>166</v>
      </c>
      <c r="F50" s="1" t="s">
        <v>157</v>
      </c>
      <c r="G50" s="1" t="s">
        <v>230</v>
      </c>
      <c r="H50" s="1" t="s">
        <v>192</v>
      </c>
      <c r="I50" s="1">
        <v>39000048</v>
      </c>
      <c r="J50" s="1" t="s">
        <v>169</v>
      </c>
      <c r="K50" s="1">
        <v>22</v>
      </c>
    </row>
    <row r="51" spans="1:11" x14ac:dyDescent="0.25">
      <c r="A51" s="1" t="s">
        <v>204</v>
      </c>
      <c r="E51" s="1" t="s">
        <v>167</v>
      </c>
      <c r="F51" s="1" t="s">
        <v>157</v>
      </c>
      <c r="G51" s="1" t="s">
        <v>230</v>
      </c>
      <c r="H51" s="1" t="s">
        <v>193</v>
      </c>
      <c r="I51" s="1">
        <v>39000048</v>
      </c>
      <c r="J51" s="1" t="s">
        <v>169</v>
      </c>
      <c r="K51" s="1">
        <v>22</v>
      </c>
    </row>
    <row r="52" spans="1:11" x14ac:dyDescent="0.25">
      <c r="B52" s="1" t="s">
        <v>234</v>
      </c>
      <c r="C52" s="1" t="s">
        <v>282</v>
      </c>
      <c r="D52" s="1">
        <v>1</v>
      </c>
      <c r="E52" s="1" t="str">
        <f t="shared" ref="E52:E55" si="1">B52&amp;" "&amp;C52&amp;" "&amp;D52</f>
        <v>INTF J3 1</v>
      </c>
      <c r="J52" s="1" t="s">
        <v>24</v>
      </c>
    </row>
    <row r="53" spans="1:11" x14ac:dyDescent="0.25">
      <c r="B53" s="1" t="s">
        <v>234</v>
      </c>
      <c r="C53" s="1" t="s">
        <v>282</v>
      </c>
      <c r="D53" s="1">
        <v>2</v>
      </c>
      <c r="E53" s="1" t="str">
        <f t="shared" si="1"/>
        <v>INTF J3 2</v>
      </c>
      <c r="J53" s="1" t="s">
        <v>247</v>
      </c>
    </row>
    <row r="54" spans="1:11" x14ac:dyDescent="0.25">
      <c r="B54" s="1" t="s">
        <v>234</v>
      </c>
      <c r="C54" s="1" t="s">
        <v>283</v>
      </c>
      <c r="D54" s="1">
        <v>1</v>
      </c>
      <c r="E54" s="1" t="str">
        <f t="shared" si="1"/>
        <v>INTF J8 1</v>
      </c>
      <c r="J54" s="1" t="s">
        <v>24</v>
      </c>
    </row>
    <row r="55" spans="1:11" x14ac:dyDescent="0.25">
      <c r="B55" s="1" t="s">
        <v>234</v>
      </c>
      <c r="C55" s="1" t="s">
        <v>283</v>
      </c>
      <c r="D55" s="1">
        <v>2</v>
      </c>
      <c r="E55" s="1" t="str">
        <f t="shared" si="1"/>
        <v>INTF J8 2</v>
      </c>
      <c r="J55" s="1" t="s">
        <v>247</v>
      </c>
    </row>
  </sheetData>
  <autoFilter ref="A1:K1" xr:uid="{4F061D89-7440-4290-8736-92859B5FF9A2}"/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15543-C85D-44C4-A848-FFC3ACD5F66C}">
  <sheetPr filterMode="1"/>
  <dimension ref="A1:I78"/>
  <sheetViews>
    <sheetView workbookViewId="0">
      <selection activeCell="D79" sqref="D79"/>
    </sheetView>
  </sheetViews>
  <sheetFormatPr defaultRowHeight="15" x14ac:dyDescent="0.25"/>
  <cols>
    <col min="1" max="1" width="21.85546875" style="1" bestFit="1" customWidth="1"/>
    <col min="2" max="2" width="15.28515625" style="1" bestFit="1" customWidth="1"/>
    <col min="3" max="3" width="19.28515625" style="1" bestFit="1" customWidth="1"/>
    <col min="4" max="4" width="21.85546875" style="1" bestFit="1" customWidth="1"/>
    <col min="5" max="5" width="21.42578125" style="1" bestFit="1" customWidth="1"/>
    <col min="6" max="6" width="16.85546875" style="1" bestFit="1" customWidth="1"/>
    <col min="7" max="7" width="28.140625" style="1" bestFit="1" customWidth="1"/>
    <col min="8" max="8" width="23.28515625" style="1" bestFit="1" customWidth="1"/>
    <col min="9" max="9" width="9.140625" style="1"/>
  </cols>
  <sheetData>
    <row r="1" spans="1:9" s="2" customFormat="1" x14ac:dyDescent="0.25">
      <c r="A1" s="3" t="s">
        <v>197</v>
      </c>
      <c r="B1" s="3" t="s">
        <v>0</v>
      </c>
      <c r="C1" s="3" t="s">
        <v>133</v>
      </c>
      <c r="D1" s="3" t="s">
        <v>198</v>
      </c>
      <c r="E1" s="3" t="s">
        <v>1</v>
      </c>
      <c r="F1" s="3" t="s">
        <v>134</v>
      </c>
      <c r="G1" s="3" t="s">
        <v>21</v>
      </c>
      <c r="H1" s="3" t="s">
        <v>2</v>
      </c>
      <c r="I1" s="3"/>
    </row>
    <row r="2" spans="1:9" hidden="1" x14ac:dyDescent="0.25">
      <c r="A2" s="1" t="s">
        <v>205</v>
      </c>
      <c r="B2" s="1" t="s">
        <v>3</v>
      </c>
      <c r="C2" s="1">
        <v>430300007</v>
      </c>
      <c r="D2" s="1" t="s">
        <v>209</v>
      </c>
      <c r="E2" s="1" t="s">
        <v>23</v>
      </c>
      <c r="F2" s="1" t="s">
        <v>139</v>
      </c>
      <c r="G2" s="1" t="s">
        <v>24</v>
      </c>
      <c r="H2" s="1">
        <v>22</v>
      </c>
    </row>
    <row r="3" spans="1:9" hidden="1" x14ac:dyDescent="0.25">
      <c r="A3" s="1" t="s">
        <v>205</v>
      </c>
      <c r="B3" s="1" t="s">
        <v>4</v>
      </c>
      <c r="C3" s="1">
        <v>430300007</v>
      </c>
      <c r="D3" s="1" t="s">
        <v>209</v>
      </c>
      <c r="E3" s="1" t="s">
        <v>20</v>
      </c>
      <c r="F3" s="1" t="s">
        <v>139</v>
      </c>
      <c r="G3" s="1" t="s">
        <v>22</v>
      </c>
      <c r="H3" s="1">
        <v>22</v>
      </c>
    </row>
    <row r="4" spans="1:9" hidden="1" x14ac:dyDescent="0.25">
      <c r="A4" s="1" t="s">
        <v>205</v>
      </c>
      <c r="B4" s="1" t="s">
        <v>5</v>
      </c>
      <c r="C4" s="1">
        <v>430300007</v>
      </c>
      <c r="D4" s="1" t="s">
        <v>210</v>
      </c>
      <c r="E4" s="1" t="s">
        <v>27</v>
      </c>
      <c r="F4" s="1" t="s">
        <v>139</v>
      </c>
      <c r="G4" s="1" t="s">
        <v>26</v>
      </c>
      <c r="H4" s="1">
        <v>22</v>
      </c>
    </row>
    <row r="5" spans="1:9" hidden="1" x14ac:dyDescent="0.25">
      <c r="A5" s="1" t="s">
        <v>205</v>
      </c>
      <c r="B5" s="1" t="s">
        <v>6</v>
      </c>
      <c r="C5" s="1">
        <v>430300007</v>
      </c>
      <c r="D5" s="1" t="s">
        <v>210</v>
      </c>
      <c r="E5" s="1" t="s">
        <v>25</v>
      </c>
      <c r="F5" s="1" t="s">
        <v>139</v>
      </c>
      <c r="G5" s="1" t="s">
        <v>26</v>
      </c>
      <c r="H5" s="1">
        <v>22</v>
      </c>
    </row>
    <row r="6" spans="1:9" hidden="1" x14ac:dyDescent="0.25">
      <c r="A6" s="1" t="s">
        <v>205</v>
      </c>
      <c r="B6" s="1" t="s">
        <v>7</v>
      </c>
      <c r="C6" s="1">
        <v>430300007</v>
      </c>
      <c r="D6" s="1" t="s">
        <v>211</v>
      </c>
      <c r="E6" s="1" t="s">
        <v>28</v>
      </c>
      <c r="F6" s="1" t="s">
        <v>139</v>
      </c>
      <c r="G6" s="1" t="s">
        <v>31</v>
      </c>
      <c r="H6" s="1">
        <v>22</v>
      </c>
    </row>
    <row r="7" spans="1:9" hidden="1" x14ac:dyDescent="0.25">
      <c r="A7" s="1" t="s">
        <v>205</v>
      </c>
      <c r="B7" s="1" t="s">
        <v>8</v>
      </c>
      <c r="C7" s="1">
        <v>430300007</v>
      </c>
      <c r="D7" s="1" t="s">
        <v>212</v>
      </c>
      <c r="E7" s="1" t="s">
        <v>29</v>
      </c>
      <c r="F7" s="1" t="s">
        <v>139</v>
      </c>
      <c r="G7" s="1" t="s">
        <v>32</v>
      </c>
      <c r="H7" s="1">
        <v>22</v>
      </c>
    </row>
    <row r="8" spans="1:9" hidden="1" x14ac:dyDescent="0.25">
      <c r="A8" s="1" t="s">
        <v>205</v>
      </c>
      <c r="B8" s="1" t="s">
        <v>9</v>
      </c>
      <c r="C8" s="1">
        <v>430300007</v>
      </c>
      <c r="D8" s="1" t="s">
        <v>213</v>
      </c>
      <c r="E8" s="1" t="s">
        <v>33</v>
      </c>
      <c r="F8" s="1" t="s">
        <v>139</v>
      </c>
      <c r="G8" s="1" t="s">
        <v>39</v>
      </c>
      <c r="H8" s="1">
        <v>22</v>
      </c>
    </row>
    <row r="9" spans="1:9" hidden="1" x14ac:dyDescent="0.25">
      <c r="A9" s="1" t="s">
        <v>205</v>
      </c>
      <c r="B9" s="1" t="s">
        <v>10</v>
      </c>
      <c r="C9" s="1">
        <v>430300007</v>
      </c>
      <c r="D9" s="1" t="s">
        <v>213</v>
      </c>
      <c r="E9" s="1" t="s">
        <v>34</v>
      </c>
      <c r="F9" s="1" t="s">
        <v>139</v>
      </c>
      <c r="G9" s="1" t="s">
        <v>39</v>
      </c>
      <c r="H9" s="1">
        <v>22</v>
      </c>
    </row>
    <row r="10" spans="1:9" hidden="1" x14ac:dyDescent="0.25">
      <c r="A10" s="1" t="s">
        <v>205</v>
      </c>
      <c r="B10" s="1" t="s">
        <v>11</v>
      </c>
      <c r="C10" s="1">
        <v>430300007</v>
      </c>
      <c r="D10" s="1" t="s">
        <v>214</v>
      </c>
      <c r="E10" s="1" t="s">
        <v>35</v>
      </c>
      <c r="F10" s="1" t="s">
        <v>139</v>
      </c>
      <c r="G10" s="1" t="s">
        <v>40</v>
      </c>
      <c r="H10" s="1">
        <v>22</v>
      </c>
    </row>
    <row r="11" spans="1:9" hidden="1" x14ac:dyDescent="0.25">
      <c r="A11" s="1" t="s">
        <v>205</v>
      </c>
      <c r="B11" s="1" t="s">
        <v>12</v>
      </c>
      <c r="C11" s="1">
        <v>430300007</v>
      </c>
      <c r="D11" s="1" t="s">
        <v>214</v>
      </c>
      <c r="E11" s="1" t="s">
        <v>36</v>
      </c>
      <c r="F11" s="1" t="s">
        <v>139</v>
      </c>
      <c r="G11" s="1" t="s">
        <v>40</v>
      </c>
      <c r="H11" s="1">
        <v>22</v>
      </c>
    </row>
    <row r="12" spans="1:9" hidden="1" x14ac:dyDescent="0.25">
      <c r="A12" s="1" t="s">
        <v>205</v>
      </c>
      <c r="B12" s="1" t="s">
        <v>13</v>
      </c>
      <c r="C12" s="1">
        <v>430300007</v>
      </c>
      <c r="D12" s="1" t="s">
        <v>215</v>
      </c>
      <c r="E12" s="1" t="s">
        <v>37</v>
      </c>
      <c r="F12" s="1" t="s">
        <v>139</v>
      </c>
      <c r="G12" s="1" t="s">
        <v>41</v>
      </c>
      <c r="H12" s="1">
        <v>22</v>
      </c>
    </row>
    <row r="13" spans="1:9" hidden="1" x14ac:dyDescent="0.25">
      <c r="A13" s="1" t="s">
        <v>205</v>
      </c>
      <c r="B13" s="1" t="s">
        <v>14</v>
      </c>
      <c r="C13" s="1">
        <v>430300007</v>
      </c>
      <c r="D13" s="1" t="s">
        <v>215</v>
      </c>
      <c r="E13" s="1" t="s">
        <v>38</v>
      </c>
      <c r="F13" s="1" t="s">
        <v>139</v>
      </c>
      <c r="G13" s="1" t="s">
        <v>41</v>
      </c>
      <c r="H13" s="1">
        <v>22</v>
      </c>
    </row>
    <row r="14" spans="1:9" hidden="1" x14ac:dyDescent="0.25">
      <c r="A14" s="1" t="s">
        <v>205</v>
      </c>
      <c r="B14" s="1" t="s">
        <v>15</v>
      </c>
      <c r="C14" s="1">
        <v>430300007</v>
      </c>
      <c r="D14" s="1" t="s">
        <v>216</v>
      </c>
      <c r="E14" s="1" t="s">
        <v>30</v>
      </c>
      <c r="F14" s="1" t="s">
        <v>139</v>
      </c>
      <c r="G14" s="1" t="s">
        <v>42</v>
      </c>
      <c r="H14" s="1">
        <v>22</v>
      </c>
    </row>
    <row r="15" spans="1:9" hidden="1" x14ac:dyDescent="0.25">
      <c r="A15" s="1" t="s">
        <v>205</v>
      </c>
      <c r="B15" s="1" t="s">
        <v>16</v>
      </c>
      <c r="C15" s="1">
        <v>430300007</v>
      </c>
      <c r="D15" s="1" t="s">
        <v>217</v>
      </c>
      <c r="E15" s="1" t="s">
        <v>43</v>
      </c>
      <c r="F15" s="1" t="s">
        <v>139</v>
      </c>
      <c r="G15" s="1" t="s">
        <v>45</v>
      </c>
      <c r="H15" s="1">
        <v>22</v>
      </c>
    </row>
    <row r="16" spans="1:9" hidden="1" x14ac:dyDescent="0.25">
      <c r="A16" s="1" t="s">
        <v>205</v>
      </c>
      <c r="B16" s="1" t="s">
        <v>17</v>
      </c>
      <c r="C16" s="1">
        <v>430300007</v>
      </c>
      <c r="D16" s="1" t="s">
        <v>217</v>
      </c>
      <c r="E16" s="1" t="s">
        <v>44</v>
      </c>
      <c r="F16" s="1" t="s">
        <v>139</v>
      </c>
      <c r="G16" s="1" t="s">
        <v>45</v>
      </c>
      <c r="H16" s="1">
        <v>22</v>
      </c>
    </row>
    <row r="17" spans="1:8" hidden="1" x14ac:dyDescent="0.25">
      <c r="A17" s="1" t="s">
        <v>205</v>
      </c>
      <c r="B17" s="1" t="s">
        <v>18</v>
      </c>
      <c r="C17" s="1">
        <v>430300007</v>
      </c>
      <c r="D17" s="1" t="s">
        <v>211</v>
      </c>
      <c r="E17" s="1" t="s">
        <v>46</v>
      </c>
      <c r="F17" s="1" t="s">
        <v>139</v>
      </c>
      <c r="G17" s="1" t="s">
        <v>48</v>
      </c>
      <c r="H17" s="1">
        <v>22</v>
      </c>
    </row>
    <row r="18" spans="1:8" hidden="1" x14ac:dyDescent="0.25">
      <c r="A18" s="1" t="s">
        <v>205</v>
      </c>
      <c r="B18" s="1" t="s">
        <v>19</v>
      </c>
      <c r="C18" s="1">
        <v>430300007</v>
      </c>
      <c r="D18" s="1" t="s">
        <v>212</v>
      </c>
      <c r="E18" s="1" t="s">
        <v>47</v>
      </c>
      <c r="F18" s="1" t="s">
        <v>139</v>
      </c>
      <c r="G18" s="1" t="s">
        <v>49</v>
      </c>
      <c r="H18" s="1">
        <v>22</v>
      </c>
    </row>
    <row r="19" spans="1:8" hidden="1" x14ac:dyDescent="0.25">
      <c r="A19" s="1" t="s">
        <v>199</v>
      </c>
      <c r="B19" s="1" t="s">
        <v>50</v>
      </c>
      <c r="C19" s="1">
        <v>430300007</v>
      </c>
      <c r="D19" s="1" t="s">
        <v>218</v>
      </c>
      <c r="E19" s="1" t="s">
        <v>65</v>
      </c>
      <c r="F19" s="1" t="s">
        <v>139</v>
      </c>
      <c r="G19" s="1" t="s">
        <v>71</v>
      </c>
      <c r="H19" s="1">
        <v>22</v>
      </c>
    </row>
    <row r="20" spans="1:8" hidden="1" x14ac:dyDescent="0.25">
      <c r="A20" s="1" t="s">
        <v>199</v>
      </c>
      <c r="B20" s="1" t="s">
        <v>51</v>
      </c>
      <c r="C20" s="1">
        <v>430300007</v>
      </c>
      <c r="D20" s="1" t="s">
        <v>219</v>
      </c>
      <c r="E20" s="1" t="s">
        <v>66</v>
      </c>
      <c r="F20" s="1" t="s">
        <v>139</v>
      </c>
      <c r="G20" s="1" t="s">
        <v>70</v>
      </c>
      <c r="H20" s="1">
        <v>22</v>
      </c>
    </row>
    <row r="21" spans="1:8" hidden="1" x14ac:dyDescent="0.25">
      <c r="A21" s="1" t="s">
        <v>199</v>
      </c>
      <c r="B21" s="1" t="s">
        <v>52</v>
      </c>
      <c r="C21" s="1">
        <v>430300007</v>
      </c>
      <c r="D21" s="1" t="s">
        <v>220</v>
      </c>
      <c r="E21" s="1" t="s">
        <v>67</v>
      </c>
      <c r="F21" s="1" t="s">
        <v>139</v>
      </c>
      <c r="G21" s="1" t="s">
        <v>72</v>
      </c>
      <c r="H21" s="1">
        <v>22</v>
      </c>
    </row>
    <row r="22" spans="1:8" hidden="1" x14ac:dyDescent="0.25">
      <c r="A22" s="1" t="s">
        <v>199</v>
      </c>
      <c r="B22" s="1" t="s">
        <v>53</v>
      </c>
      <c r="C22" s="1">
        <v>430300007</v>
      </c>
      <c r="D22" s="1" t="s">
        <v>221</v>
      </c>
      <c r="E22" s="1" t="s">
        <v>68</v>
      </c>
      <c r="F22" s="1" t="s">
        <v>139</v>
      </c>
      <c r="G22" s="1" t="s">
        <v>73</v>
      </c>
      <c r="H22" s="1">
        <v>22</v>
      </c>
    </row>
    <row r="23" spans="1:8" hidden="1" x14ac:dyDescent="0.25">
      <c r="A23" s="1" t="s">
        <v>199</v>
      </c>
      <c r="B23" s="1" t="s">
        <v>54</v>
      </c>
      <c r="C23" s="1">
        <v>430300007</v>
      </c>
      <c r="D23" s="1" t="s">
        <v>222</v>
      </c>
      <c r="E23" s="1" t="s">
        <v>69</v>
      </c>
      <c r="F23" s="1" t="s">
        <v>139</v>
      </c>
      <c r="G23" s="1" t="s">
        <v>74</v>
      </c>
      <c r="H23" s="1">
        <v>22</v>
      </c>
    </row>
    <row r="24" spans="1:8" hidden="1" x14ac:dyDescent="0.25">
      <c r="A24" s="1" t="s">
        <v>199</v>
      </c>
      <c r="B24" s="1" t="s">
        <v>55</v>
      </c>
      <c r="C24" s="1">
        <v>430300007</v>
      </c>
      <c r="D24" s="1" t="s">
        <v>223</v>
      </c>
      <c r="E24" s="1" t="s">
        <v>75</v>
      </c>
      <c r="F24" s="1" t="s">
        <v>139</v>
      </c>
      <c r="G24" s="1" t="s">
        <v>79</v>
      </c>
      <c r="H24" s="1">
        <v>22</v>
      </c>
    </row>
    <row r="25" spans="1:8" hidden="1" x14ac:dyDescent="0.25">
      <c r="A25" s="1" t="s">
        <v>199</v>
      </c>
      <c r="B25" s="1" t="s">
        <v>56</v>
      </c>
      <c r="C25" s="1">
        <v>430300007</v>
      </c>
      <c r="D25" s="1" t="s">
        <v>223</v>
      </c>
      <c r="E25" s="1" t="s">
        <v>76</v>
      </c>
      <c r="F25" s="1" t="s">
        <v>139</v>
      </c>
      <c r="G25" s="1" t="s">
        <v>79</v>
      </c>
      <c r="H25" s="1">
        <v>22</v>
      </c>
    </row>
    <row r="26" spans="1:8" hidden="1" x14ac:dyDescent="0.25">
      <c r="A26" s="1" t="s">
        <v>199</v>
      </c>
      <c r="B26" s="1" t="s">
        <v>57</v>
      </c>
      <c r="C26" s="1">
        <v>430300007</v>
      </c>
      <c r="D26" s="1" t="s">
        <v>224</v>
      </c>
      <c r="E26" s="1" t="s">
        <v>77</v>
      </c>
      <c r="F26" s="1" t="s">
        <v>139</v>
      </c>
      <c r="G26" s="1" t="s">
        <v>80</v>
      </c>
      <c r="H26" s="1">
        <v>22</v>
      </c>
    </row>
    <row r="27" spans="1:8" hidden="1" x14ac:dyDescent="0.25">
      <c r="A27" s="1" t="s">
        <v>199</v>
      </c>
      <c r="B27" s="1" t="s">
        <v>58</v>
      </c>
      <c r="C27" s="1">
        <v>430300007</v>
      </c>
      <c r="D27" s="1" t="s">
        <v>225</v>
      </c>
      <c r="E27" s="1" t="s">
        <v>78</v>
      </c>
      <c r="F27" s="1" t="s">
        <v>139</v>
      </c>
      <c r="G27" s="1" t="s">
        <v>80</v>
      </c>
      <c r="H27" s="1">
        <v>22</v>
      </c>
    </row>
    <row r="28" spans="1:8" hidden="1" x14ac:dyDescent="0.25">
      <c r="A28" s="1" t="s">
        <v>199</v>
      </c>
      <c r="B28" s="1" t="s">
        <v>59</v>
      </c>
      <c r="C28" s="1">
        <v>430300007</v>
      </c>
      <c r="D28" s="1" t="s">
        <v>220</v>
      </c>
      <c r="E28" s="1" t="s">
        <v>200</v>
      </c>
      <c r="F28" s="1" t="s">
        <v>139</v>
      </c>
      <c r="G28" s="1" t="s">
        <v>81</v>
      </c>
      <c r="H28" s="1">
        <v>22</v>
      </c>
    </row>
    <row r="29" spans="1:8" hidden="1" x14ac:dyDescent="0.25">
      <c r="A29" s="1" t="s">
        <v>199</v>
      </c>
      <c r="B29" s="1" t="s">
        <v>60</v>
      </c>
      <c r="C29" s="1">
        <v>430300007</v>
      </c>
      <c r="D29" s="1" t="s">
        <v>226</v>
      </c>
      <c r="E29" s="1" t="s">
        <v>82</v>
      </c>
      <c r="F29" s="1" t="s">
        <v>139</v>
      </c>
      <c r="G29" s="1" t="s">
        <v>86</v>
      </c>
      <c r="H29" s="1">
        <v>22</v>
      </c>
    </row>
    <row r="30" spans="1:8" hidden="1" x14ac:dyDescent="0.25">
      <c r="A30" s="1" t="s">
        <v>199</v>
      </c>
      <c r="B30" s="1" t="s">
        <v>61</v>
      </c>
      <c r="C30" s="1">
        <v>430300007</v>
      </c>
      <c r="D30" s="1" t="s">
        <v>226</v>
      </c>
      <c r="E30" s="1" t="s">
        <v>83</v>
      </c>
      <c r="F30" s="1" t="s">
        <v>139</v>
      </c>
      <c r="G30" s="1" t="s">
        <v>86</v>
      </c>
      <c r="H30" s="1">
        <v>22</v>
      </c>
    </row>
    <row r="31" spans="1:8" hidden="1" x14ac:dyDescent="0.25">
      <c r="A31" s="1" t="s">
        <v>199</v>
      </c>
      <c r="B31" s="1" t="s">
        <v>62</v>
      </c>
      <c r="C31" s="1">
        <v>430300007</v>
      </c>
      <c r="D31" s="1" t="s">
        <v>227</v>
      </c>
      <c r="E31" s="1" t="s">
        <v>84</v>
      </c>
      <c r="F31" s="1" t="s">
        <v>139</v>
      </c>
      <c r="G31" s="1" t="s">
        <v>87</v>
      </c>
      <c r="H31" s="1">
        <v>22</v>
      </c>
    </row>
    <row r="32" spans="1:8" hidden="1" x14ac:dyDescent="0.25">
      <c r="A32" s="1" t="s">
        <v>199</v>
      </c>
      <c r="B32" s="1" t="s">
        <v>63</v>
      </c>
      <c r="C32" s="1">
        <v>430300007</v>
      </c>
      <c r="D32" s="1" t="s">
        <v>227</v>
      </c>
      <c r="E32" s="1" t="s">
        <v>85</v>
      </c>
      <c r="F32" s="1" t="s">
        <v>139</v>
      </c>
      <c r="G32" s="1" t="s">
        <v>87</v>
      </c>
      <c r="H32" s="1">
        <v>22</v>
      </c>
    </row>
    <row r="33" spans="1:8" hidden="1" x14ac:dyDescent="0.25">
      <c r="A33" s="1" t="s">
        <v>199</v>
      </c>
      <c r="B33" s="1" t="s">
        <v>64</v>
      </c>
      <c r="C33" s="1">
        <v>430300007</v>
      </c>
      <c r="D33" s="1" t="s">
        <v>220</v>
      </c>
      <c r="E33" s="1" t="s">
        <v>88</v>
      </c>
      <c r="F33" s="1" t="s">
        <v>139</v>
      </c>
      <c r="G33" s="1" t="s">
        <v>24</v>
      </c>
      <c r="H33" s="1">
        <v>22</v>
      </c>
    </row>
    <row r="34" spans="1:8" hidden="1" x14ac:dyDescent="0.25">
      <c r="A34" s="1" t="s">
        <v>206</v>
      </c>
      <c r="B34" s="1" t="s">
        <v>89</v>
      </c>
      <c r="C34" s="1">
        <v>430300007</v>
      </c>
      <c r="E34" s="1" t="s">
        <v>129</v>
      </c>
      <c r="F34" s="1" t="s">
        <v>140</v>
      </c>
      <c r="G34" s="1" t="s">
        <v>112</v>
      </c>
      <c r="H34" s="1" t="s">
        <v>194</v>
      </c>
    </row>
    <row r="35" spans="1:8" hidden="1" x14ac:dyDescent="0.25">
      <c r="A35" s="1" t="s">
        <v>206</v>
      </c>
      <c r="B35" s="1" t="s">
        <v>90</v>
      </c>
      <c r="C35" s="1">
        <v>430300007</v>
      </c>
      <c r="E35" s="1" t="s">
        <v>121</v>
      </c>
      <c r="F35" s="1" t="s">
        <v>140</v>
      </c>
      <c r="G35" s="1" t="s">
        <v>96</v>
      </c>
      <c r="H35" s="1" t="s">
        <v>194</v>
      </c>
    </row>
    <row r="36" spans="1:8" hidden="1" x14ac:dyDescent="0.25">
      <c r="A36" s="1" t="s">
        <v>206</v>
      </c>
      <c r="B36" s="1" t="s">
        <v>91</v>
      </c>
      <c r="C36" s="1">
        <v>430300007</v>
      </c>
      <c r="E36" s="1" t="s">
        <v>122</v>
      </c>
      <c r="F36" s="1" t="s">
        <v>140</v>
      </c>
      <c r="G36" s="1" t="s">
        <v>97</v>
      </c>
      <c r="H36" s="1" t="s">
        <v>194</v>
      </c>
    </row>
    <row r="37" spans="1:8" hidden="1" x14ac:dyDescent="0.25">
      <c r="A37" s="1" t="s">
        <v>206</v>
      </c>
      <c r="B37" s="1" t="s">
        <v>92</v>
      </c>
      <c r="C37" s="1">
        <v>430300007</v>
      </c>
      <c r="E37" s="1" t="s">
        <v>123</v>
      </c>
      <c r="F37" s="1" t="s">
        <v>140</v>
      </c>
      <c r="G37" s="1" t="s">
        <v>116</v>
      </c>
      <c r="H37" s="1" t="s">
        <v>194</v>
      </c>
    </row>
    <row r="38" spans="1:8" hidden="1" x14ac:dyDescent="0.25">
      <c r="A38" s="1" t="s">
        <v>206</v>
      </c>
      <c r="B38" s="1" t="s">
        <v>93</v>
      </c>
      <c r="C38" s="1">
        <v>430300007</v>
      </c>
      <c r="E38" s="1" t="s">
        <v>124</v>
      </c>
      <c r="F38" s="1" t="s">
        <v>140</v>
      </c>
      <c r="G38" s="1" t="s">
        <v>115</v>
      </c>
      <c r="H38" s="1" t="s">
        <v>194</v>
      </c>
    </row>
    <row r="39" spans="1:8" hidden="1" x14ac:dyDescent="0.25">
      <c r="A39" s="1" t="s">
        <v>206</v>
      </c>
      <c r="B39" s="1" t="s">
        <v>94</v>
      </c>
      <c r="C39" s="1">
        <v>430300007</v>
      </c>
      <c r="E39" s="1" t="s">
        <v>125</v>
      </c>
      <c r="F39" s="1" t="s">
        <v>140</v>
      </c>
      <c r="G39" s="1" t="s">
        <v>114</v>
      </c>
      <c r="H39" s="1" t="s">
        <v>194</v>
      </c>
    </row>
    <row r="40" spans="1:8" hidden="1" x14ac:dyDescent="0.25">
      <c r="A40" s="1" t="s">
        <v>206</v>
      </c>
      <c r="B40" s="1" t="s">
        <v>95</v>
      </c>
      <c r="C40" s="1">
        <v>430300007</v>
      </c>
      <c r="E40" s="1" t="s">
        <v>126</v>
      </c>
      <c r="F40" s="1" t="s">
        <v>140</v>
      </c>
      <c r="G40" s="1" t="s">
        <v>113</v>
      </c>
      <c r="H40" s="1" t="s">
        <v>194</v>
      </c>
    </row>
    <row r="41" spans="1:8" hidden="1" x14ac:dyDescent="0.25">
      <c r="A41" s="1" t="s">
        <v>207</v>
      </c>
      <c r="B41" s="1" t="s">
        <v>98</v>
      </c>
      <c r="C41" s="1">
        <v>430300007</v>
      </c>
      <c r="E41" s="1" t="s">
        <v>127</v>
      </c>
      <c r="F41" s="1" t="s">
        <v>141</v>
      </c>
      <c r="G41" s="1" t="s">
        <v>24</v>
      </c>
      <c r="H41" s="1" t="s">
        <v>195</v>
      </c>
    </row>
    <row r="42" spans="1:8" hidden="1" x14ac:dyDescent="0.25">
      <c r="A42" s="1" t="s">
        <v>207</v>
      </c>
      <c r="B42" s="1" t="s">
        <v>99</v>
      </c>
      <c r="C42" s="1">
        <v>430300007</v>
      </c>
      <c r="E42" s="1" t="s">
        <v>128</v>
      </c>
      <c r="F42" s="1" t="s">
        <v>141</v>
      </c>
      <c r="G42" s="1" t="s">
        <v>102</v>
      </c>
      <c r="H42" s="1" t="s">
        <v>195</v>
      </c>
    </row>
    <row r="43" spans="1:8" x14ac:dyDescent="0.25">
      <c r="B43" s="1" t="s">
        <v>100</v>
      </c>
      <c r="C43" s="1">
        <v>430300007</v>
      </c>
      <c r="E43" s="1" t="s">
        <v>130</v>
      </c>
      <c r="G43" s="1" t="s">
        <v>24</v>
      </c>
    </row>
    <row r="44" spans="1:8" x14ac:dyDescent="0.25">
      <c r="B44" s="1" t="s">
        <v>101</v>
      </c>
      <c r="C44" s="1">
        <v>430300007</v>
      </c>
      <c r="E44" s="1" t="s">
        <v>130</v>
      </c>
      <c r="G44" s="1" t="s">
        <v>103</v>
      </c>
    </row>
    <row r="45" spans="1:8" hidden="1" x14ac:dyDescent="0.25">
      <c r="A45" s="1" t="s">
        <v>208</v>
      </c>
      <c r="B45" s="1" t="s">
        <v>104</v>
      </c>
      <c r="C45" s="1" t="s">
        <v>142</v>
      </c>
      <c r="D45" s="1" t="s">
        <v>228</v>
      </c>
      <c r="E45" s="1" t="s">
        <v>117</v>
      </c>
      <c r="F45" s="1" t="s">
        <v>142</v>
      </c>
      <c r="G45" s="1" t="s">
        <v>119</v>
      </c>
      <c r="H45" s="1" t="s">
        <v>131</v>
      </c>
    </row>
    <row r="46" spans="1:8" x14ac:dyDescent="0.25">
      <c r="B46" s="1" t="s">
        <v>105</v>
      </c>
      <c r="C46" s="1" t="s">
        <v>142</v>
      </c>
      <c r="E46" s="1" t="s">
        <v>130</v>
      </c>
      <c r="F46" s="1" t="s">
        <v>142</v>
      </c>
      <c r="G46" s="1" t="s">
        <v>118</v>
      </c>
      <c r="H46" s="1" t="s">
        <v>131</v>
      </c>
    </row>
    <row r="47" spans="1:8" x14ac:dyDescent="0.25">
      <c r="B47" s="1" t="s">
        <v>106</v>
      </c>
      <c r="C47" s="1" t="s">
        <v>196</v>
      </c>
      <c r="E47" s="1" t="s">
        <v>109</v>
      </c>
      <c r="F47" s="1" t="s">
        <v>196</v>
      </c>
      <c r="G47" s="1" t="s">
        <v>120</v>
      </c>
      <c r="H47" s="1" t="s">
        <v>132</v>
      </c>
    </row>
    <row r="48" spans="1:8" x14ac:dyDescent="0.25">
      <c r="B48" s="1" t="s">
        <v>107</v>
      </c>
      <c r="C48" s="1" t="s">
        <v>196</v>
      </c>
      <c r="E48" s="1" t="s">
        <v>110</v>
      </c>
      <c r="F48" s="1" t="s">
        <v>196</v>
      </c>
      <c r="G48" s="1" t="s">
        <v>120</v>
      </c>
      <c r="H48" s="1" t="s">
        <v>132</v>
      </c>
    </row>
    <row r="49" spans="1:8" x14ac:dyDescent="0.25">
      <c r="B49" s="1" t="s">
        <v>108</v>
      </c>
      <c r="C49" s="1" t="s">
        <v>196</v>
      </c>
      <c r="E49" s="1" t="s">
        <v>111</v>
      </c>
      <c r="F49" s="1" t="s">
        <v>196</v>
      </c>
      <c r="G49" s="1" t="s">
        <v>120</v>
      </c>
      <c r="H49" s="1" t="s">
        <v>132</v>
      </c>
    </row>
    <row r="50" spans="1:8" hidden="1" x14ac:dyDescent="0.25">
      <c r="B50" s="1" t="s">
        <v>152</v>
      </c>
      <c r="C50" s="1" t="s">
        <v>144</v>
      </c>
      <c r="E50" s="1" t="s">
        <v>146</v>
      </c>
      <c r="F50" s="1" t="s">
        <v>144</v>
      </c>
      <c r="G50" s="1" t="s">
        <v>148</v>
      </c>
      <c r="H50" s="1">
        <v>14</v>
      </c>
    </row>
    <row r="51" spans="1:8" hidden="1" x14ac:dyDescent="0.25">
      <c r="B51" s="1" t="s">
        <v>152</v>
      </c>
      <c r="C51" s="1" t="s">
        <v>144</v>
      </c>
      <c r="E51" s="1" t="s">
        <v>145</v>
      </c>
      <c r="F51" s="1" t="s">
        <v>144</v>
      </c>
      <c r="G51" s="1" t="s">
        <v>149</v>
      </c>
      <c r="H51" s="1">
        <v>14</v>
      </c>
    </row>
    <row r="52" spans="1:8" x14ac:dyDescent="0.25">
      <c r="B52" s="1" t="s">
        <v>152</v>
      </c>
      <c r="C52" s="1" t="s">
        <v>144</v>
      </c>
      <c r="E52" s="1" t="s">
        <v>136</v>
      </c>
      <c r="F52" s="1" t="s">
        <v>143</v>
      </c>
      <c r="G52" s="1" t="s">
        <v>135</v>
      </c>
      <c r="H52" s="1">
        <v>18</v>
      </c>
    </row>
    <row r="53" spans="1:8" x14ac:dyDescent="0.25">
      <c r="B53" s="1" t="s">
        <v>152</v>
      </c>
      <c r="C53" s="1" t="s">
        <v>144</v>
      </c>
      <c r="E53" s="1" t="s">
        <v>137</v>
      </c>
      <c r="F53" s="1" t="s">
        <v>147</v>
      </c>
      <c r="G53" s="1" t="s">
        <v>150</v>
      </c>
      <c r="H53" s="1">
        <v>18</v>
      </c>
    </row>
    <row r="54" spans="1:8" x14ac:dyDescent="0.25">
      <c r="B54" s="1" t="s">
        <v>152</v>
      </c>
      <c r="C54" s="1" t="s">
        <v>144</v>
      </c>
      <c r="E54" s="1" t="s">
        <v>138</v>
      </c>
      <c r="F54" s="1" t="s">
        <v>147</v>
      </c>
      <c r="G54" s="1" t="s">
        <v>151</v>
      </c>
      <c r="H54" s="1">
        <v>18</v>
      </c>
    </row>
    <row r="55" spans="1:8" x14ac:dyDescent="0.25">
      <c r="A55" s="1" t="s">
        <v>201</v>
      </c>
      <c r="B55" s="1" t="s">
        <v>153</v>
      </c>
      <c r="C55" s="1" t="s">
        <v>157</v>
      </c>
      <c r="D55" s="1" t="s">
        <v>229</v>
      </c>
      <c r="E55" s="1" t="s">
        <v>170</v>
      </c>
      <c r="F55" s="1">
        <v>39000048</v>
      </c>
      <c r="G55" s="1" t="s">
        <v>159</v>
      </c>
      <c r="H55" s="1">
        <v>22</v>
      </c>
    </row>
    <row r="56" spans="1:8" x14ac:dyDescent="0.25">
      <c r="A56" s="1" t="s">
        <v>201</v>
      </c>
      <c r="B56" s="1" t="s">
        <v>154</v>
      </c>
      <c r="C56" s="1" t="s">
        <v>157</v>
      </c>
      <c r="D56" s="1" t="s">
        <v>229</v>
      </c>
      <c r="E56" s="1" t="s">
        <v>171</v>
      </c>
      <c r="F56" s="1">
        <v>39000048</v>
      </c>
      <c r="G56" s="1" t="s">
        <v>159</v>
      </c>
      <c r="H56" s="1">
        <v>22</v>
      </c>
    </row>
    <row r="57" spans="1:8" x14ac:dyDescent="0.25">
      <c r="A57" s="1" t="s">
        <v>202</v>
      </c>
      <c r="B57" s="1" t="s">
        <v>180</v>
      </c>
      <c r="C57" s="1">
        <v>39000046</v>
      </c>
      <c r="D57" s="1" t="s">
        <v>229</v>
      </c>
      <c r="E57" s="1" t="s">
        <v>172</v>
      </c>
      <c r="F57" s="1">
        <v>39000048</v>
      </c>
      <c r="G57" s="1" t="s">
        <v>158</v>
      </c>
      <c r="H57" s="1">
        <v>22</v>
      </c>
    </row>
    <row r="58" spans="1:8" x14ac:dyDescent="0.25">
      <c r="A58" s="1" t="s">
        <v>202</v>
      </c>
      <c r="B58" s="1" t="s">
        <v>181</v>
      </c>
      <c r="C58" s="1">
        <v>39000046</v>
      </c>
      <c r="D58" s="1" t="s">
        <v>229</v>
      </c>
      <c r="E58" s="1" t="s">
        <v>173</v>
      </c>
      <c r="F58" s="1">
        <v>39000048</v>
      </c>
      <c r="G58" s="1" t="s">
        <v>158</v>
      </c>
      <c r="H58" s="1">
        <v>22</v>
      </c>
    </row>
    <row r="59" spans="1:8" x14ac:dyDescent="0.25">
      <c r="A59" s="1" t="s">
        <v>202</v>
      </c>
      <c r="B59" s="1" t="s">
        <v>182</v>
      </c>
      <c r="C59" s="1">
        <v>39000046</v>
      </c>
      <c r="D59" s="1" t="s">
        <v>229</v>
      </c>
      <c r="E59" s="1" t="s">
        <v>174</v>
      </c>
      <c r="F59" s="1">
        <v>39000048</v>
      </c>
      <c r="G59" s="1" t="s">
        <v>158</v>
      </c>
      <c r="H59" s="1">
        <v>22</v>
      </c>
    </row>
    <row r="60" spans="1:8" x14ac:dyDescent="0.25">
      <c r="A60" s="1" t="s">
        <v>202</v>
      </c>
      <c r="B60" s="1" t="s">
        <v>183</v>
      </c>
      <c r="C60" s="1">
        <v>39000046</v>
      </c>
      <c r="D60" s="1" t="s">
        <v>229</v>
      </c>
      <c r="E60" s="1" t="s">
        <v>175</v>
      </c>
      <c r="F60" s="1">
        <v>39000048</v>
      </c>
      <c r="G60" s="1" t="s">
        <v>158</v>
      </c>
      <c r="H60" s="1">
        <v>22</v>
      </c>
    </row>
    <row r="61" spans="1:8" x14ac:dyDescent="0.25">
      <c r="A61" s="1" t="s">
        <v>201</v>
      </c>
      <c r="B61" s="1" t="s">
        <v>155</v>
      </c>
      <c r="C61" s="1" t="s">
        <v>157</v>
      </c>
      <c r="D61" s="1" t="s">
        <v>229</v>
      </c>
      <c r="E61" s="1" t="s">
        <v>176</v>
      </c>
      <c r="F61" s="1">
        <v>39000048</v>
      </c>
      <c r="G61" s="1" t="s">
        <v>159</v>
      </c>
      <c r="H61" s="1">
        <v>22</v>
      </c>
    </row>
    <row r="62" spans="1:8" x14ac:dyDescent="0.25">
      <c r="A62" s="1" t="s">
        <v>201</v>
      </c>
      <c r="B62" s="1" t="s">
        <v>156</v>
      </c>
      <c r="C62" s="1" t="s">
        <v>157</v>
      </c>
      <c r="D62" s="1" t="s">
        <v>229</v>
      </c>
      <c r="E62" s="1" t="s">
        <v>177</v>
      </c>
      <c r="F62" s="1">
        <v>39000048</v>
      </c>
      <c r="G62" s="1" t="s">
        <v>159</v>
      </c>
      <c r="H62" s="1">
        <v>22</v>
      </c>
    </row>
    <row r="63" spans="1:8" x14ac:dyDescent="0.25">
      <c r="A63" s="1" t="s">
        <v>202</v>
      </c>
      <c r="B63" s="1" t="s">
        <v>184</v>
      </c>
      <c r="C63" s="1">
        <v>39000046</v>
      </c>
      <c r="D63" s="1" t="s">
        <v>229</v>
      </c>
      <c r="E63" s="1" t="s">
        <v>178</v>
      </c>
      <c r="F63" s="1">
        <v>39000048</v>
      </c>
      <c r="G63" s="1" t="s">
        <v>158</v>
      </c>
      <c r="H63" s="1">
        <v>22</v>
      </c>
    </row>
    <row r="64" spans="1:8" x14ac:dyDescent="0.25">
      <c r="A64" s="1" t="s">
        <v>202</v>
      </c>
      <c r="B64" s="1" t="s">
        <v>185</v>
      </c>
      <c r="C64" s="1">
        <v>39000046</v>
      </c>
      <c r="D64" s="1" t="s">
        <v>229</v>
      </c>
      <c r="E64" s="1" t="s">
        <v>179</v>
      </c>
      <c r="F64" s="1">
        <v>39000048</v>
      </c>
      <c r="G64" s="1" t="s">
        <v>158</v>
      </c>
      <c r="H64" s="1">
        <v>22</v>
      </c>
    </row>
    <row r="65" spans="1:8" x14ac:dyDescent="0.25">
      <c r="A65" s="1" t="s">
        <v>203</v>
      </c>
      <c r="B65" s="1" t="s">
        <v>160</v>
      </c>
      <c r="C65" s="1" t="s">
        <v>157</v>
      </c>
      <c r="D65" s="1" t="s">
        <v>230</v>
      </c>
      <c r="E65" s="1" t="s">
        <v>186</v>
      </c>
      <c r="F65" s="1">
        <v>39000048</v>
      </c>
      <c r="G65" s="1" t="s">
        <v>168</v>
      </c>
      <c r="H65" s="1">
        <v>22</v>
      </c>
    </row>
    <row r="66" spans="1:8" x14ac:dyDescent="0.25">
      <c r="A66" s="1" t="s">
        <v>203</v>
      </c>
      <c r="B66" s="1" t="s">
        <v>161</v>
      </c>
      <c r="C66" s="1" t="s">
        <v>157</v>
      </c>
      <c r="D66" s="1" t="s">
        <v>230</v>
      </c>
      <c r="E66" s="1" t="s">
        <v>187</v>
      </c>
      <c r="F66" s="1">
        <v>39000048</v>
      </c>
      <c r="G66" s="1" t="s">
        <v>168</v>
      </c>
      <c r="H66" s="1">
        <v>22</v>
      </c>
    </row>
    <row r="67" spans="1:8" x14ac:dyDescent="0.25">
      <c r="A67" s="1" t="s">
        <v>203</v>
      </c>
      <c r="B67" s="1" t="s">
        <v>162</v>
      </c>
      <c r="C67" s="1" t="s">
        <v>157</v>
      </c>
      <c r="D67" s="1" t="s">
        <v>230</v>
      </c>
      <c r="E67" s="1" t="s">
        <v>188</v>
      </c>
      <c r="F67" s="1">
        <v>39000048</v>
      </c>
      <c r="G67" s="1" t="s">
        <v>168</v>
      </c>
      <c r="H67" s="1">
        <v>22</v>
      </c>
    </row>
    <row r="68" spans="1:8" x14ac:dyDescent="0.25">
      <c r="A68" s="1" t="s">
        <v>203</v>
      </c>
      <c r="B68" s="1" t="s">
        <v>163</v>
      </c>
      <c r="C68" s="1" t="s">
        <v>157</v>
      </c>
      <c r="D68" s="1" t="s">
        <v>230</v>
      </c>
      <c r="E68" s="1" t="s">
        <v>189</v>
      </c>
      <c r="F68" s="1">
        <v>39000048</v>
      </c>
      <c r="G68" s="1" t="s">
        <v>168</v>
      </c>
      <c r="H68" s="1">
        <v>22</v>
      </c>
    </row>
    <row r="69" spans="1:8" x14ac:dyDescent="0.25">
      <c r="A69" s="1" t="s">
        <v>204</v>
      </c>
      <c r="B69" s="1" t="s">
        <v>164</v>
      </c>
      <c r="C69" s="1" t="s">
        <v>157</v>
      </c>
      <c r="D69" s="1" t="s">
        <v>230</v>
      </c>
      <c r="E69" s="1" t="s">
        <v>190</v>
      </c>
      <c r="F69" s="1">
        <v>39000048</v>
      </c>
      <c r="G69" s="1" t="s">
        <v>169</v>
      </c>
      <c r="H69" s="1">
        <v>22</v>
      </c>
    </row>
    <row r="70" spans="1:8" x14ac:dyDescent="0.25">
      <c r="A70" s="1" t="s">
        <v>204</v>
      </c>
      <c r="B70" s="1" t="s">
        <v>165</v>
      </c>
      <c r="C70" s="1" t="s">
        <v>157</v>
      </c>
      <c r="D70" s="1" t="s">
        <v>230</v>
      </c>
      <c r="E70" s="1" t="s">
        <v>191</v>
      </c>
      <c r="F70" s="1">
        <v>39000048</v>
      </c>
      <c r="G70" s="1" t="s">
        <v>169</v>
      </c>
      <c r="H70" s="1">
        <v>22</v>
      </c>
    </row>
    <row r="71" spans="1:8" x14ac:dyDescent="0.25">
      <c r="A71" s="1" t="s">
        <v>204</v>
      </c>
      <c r="B71" s="1" t="s">
        <v>166</v>
      </c>
      <c r="C71" s="1" t="s">
        <v>157</v>
      </c>
      <c r="D71" s="1" t="s">
        <v>230</v>
      </c>
      <c r="E71" s="1" t="s">
        <v>192</v>
      </c>
      <c r="F71" s="1">
        <v>39000048</v>
      </c>
      <c r="G71" s="1" t="s">
        <v>169</v>
      </c>
      <c r="H71" s="1">
        <v>22</v>
      </c>
    </row>
    <row r="72" spans="1:8" x14ac:dyDescent="0.25">
      <c r="A72" s="1" t="s">
        <v>204</v>
      </c>
      <c r="B72" s="1" t="s">
        <v>167</v>
      </c>
      <c r="C72" s="1" t="s">
        <v>157</v>
      </c>
      <c r="D72" s="1" t="s">
        <v>230</v>
      </c>
      <c r="E72" s="1" t="s">
        <v>193</v>
      </c>
      <c r="F72" s="1">
        <v>39000048</v>
      </c>
      <c r="G72" s="1" t="s">
        <v>169</v>
      </c>
      <c r="H72" s="1">
        <v>22</v>
      </c>
    </row>
    <row r="78" spans="1:8" x14ac:dyDescent="0.25">
      <c r="F78" s="1" t="s">
        <v>281</v>
      </c>
    </row>
  </sheetData>
  <autoFilter ref="A1:H72" xr:uid="{4F061D89-7440-4290-8736-92859B5FF9A2}">
    <filterColumn colId="4">
      <filters>
        <filter val="CHASSIS"/>
        <filter val="FREE"/>
        <filter val="HEAD UMB J9 1"/>
        <filter val="HEAD UMB J9 10"/>
        <filter val="HEAD UMB J9 11"/>
        <filter val="HEAD UMB J9 12"/>
        <filter val="HEAD UMB J9 16"/>
        <filter val="HEAD UMB J9 19"/>
        <filter val="HEAD UMB J9 2"/>
        <filter val="HEAD UMB J9 3"/>
        <filter val="HEAD UMB J9 6"/>
        <filter val="HEAD UMB J9 9"/>
        <filter val="LIVE"/>
        <filter val="NEUTRAL"/>
        <filter val="STRATASYS PDB J13/J14"/>
        <filter val="STRATASYS PDB J14/J18"/>
        <filter val="STRATASYS PDB J15/J17"/>
        <filter val="Y/Z J8 1"/>
        <filter val="Y/Z J8 2"/>
        <filter val="Y/Z J8 3"/>
        <filter val="Y/Z J8 4"/>
        <filter val="Y/Z J8 5"/>
        <filter val="Y/Z J8 6"/>
        <filter val="Y/Z J8 7"/>
        <filter val="Y/Z J8 8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Jared Webber</dc:creator>
  <cp:lastModifiedBy>Jared Webber</cp:lastModifiedBy>
  <dcterms:created xsi:type="dcterms:W3CDTF">2025-04-05T15:54:16Z</dcterms:created>
  <dcterms:modified xsi:type="dcterms:W3CDTF">2026-08-02T17:42:15Z</dcterms:modified>
</cp:coreProperties>
</file>